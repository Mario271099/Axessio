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ipediscom-my.sharepoint.com/personal/yannick_ipedis_com/Documents/Projets internes/WCAG/"/>
    </mc:Choice>
  </mc:AlternateContent>
  <xr:revisionPtr revIDLastSave="0" documentId="8_{1556E493-A23F-401F-A6E5-0B57DF7F572A}" xr6:coauthVersionLast="47" xr6:coauthVersionMax="47" xr10:uidLastSave="{00000000-0000-0000-0000-000000000000}"/>
  <bookViews>
    <workbookView xWindow="-38520" yWindow="-120" windowWidth="38640" windowHeight="15720" tabRatio="500" xr2:uid="{00000000-000D-0000-FFFF-FFFF00000000}"/>
  </bookViews>
  <sheets>
    <sheet name="WCAG_BDD" sheetId="1" r:id="rId1"/>
    <sheet name="Principles" sheetId="2" r:id="rId2"/>
    <sheet name="non-conformity" sheetId="3" r:id="rId3"/>
  </sheets>
  <definedNames>
    <definedName name="_xlnm._FilterDatabase" localSheetId="0" hidden="1">WCAG_BDD!$A$1:$O$170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406" i="1" l="1"/>
  <c r="O406" i="1"/>
  <c r="P406" i="1" s="1"/>
  <c r="Q405" i="1"/>
  <c r="O405" i="1"/>
  <c r="P405" i="1" s="1"/>
  <c r="Q404" i="1"/>
  <c r="O404" i="1"/>
  <c r="P404" i="1" s="1"/>
  <c r="Q403" i="1"/>
  <c r="O403" i="1"/>
  <c r="P403" i="1" s="1"/>
  <c r="Q402" i="1"/>
  <c r="O402" i="1"/>
  <c r="P402" i="1" s="1"/>
  <c r="Q401" i="1"/>
  <c r="P401" i="1"/>
  <c r="O401" i="1"/>
  <c r="Q400" i="1"/>
  <c r="P400" i="1"/>
  <c r="O400" i="1"/>
  <c r="Q399" i="1"/>
  <c r="P399" i="1"/>
  <c r="O399" i="1"/>
  <c r="Q398" i="1"/>
  <c r="P398" i="1"/>
  <c r="O398" i="1"/>
  <c r="Q397" i="1"/>
  <c r="P397" i="1"/>
  <c r="O397" i="1"/>
  <c r="Q396" i="1"/>
  <c r="O396" i="1"/>
  <c r="P396" i="1" s="1"/>
  <c r="Q395" i="1"/>
  <c r="O395" i="1"/>
  <c r="P395" i="1" s="1"/>
  <c r="Q394" i="1"/>
  <c r="P394" i="1"/>
  <c r="O394" i="1"/>
  <c r="Q393" i="1"/>
  <c r="P393" i="1"/>
  <c r="O393" i="1"/>
  <c r="Q392" i="1"/>
  <c r="O392" i="1"/>
  <c r="P392" i="1" s="1"/>
  <c r="Q391" i="1"/>
  <c r="P391" i="1"/>
  <c r="O391" i="1"/>
  <c r="Q390" i="1"/>
  <c r="P390" i="1"/>
  <c r="O390" i="1"/>
  <c r="Q389" i="1"/>
  <c r="P389" i="1"/>
  <c r="O389" i="1"/>
  <c r="Q388" i="1"/>
  <c r="O388" i="1"/>
  <c r="P388" i="1" s="1"/>
  <c r="Q387" i="1"/>
  <c r="O387" i="1"/>
  <c r="P387" i="1" s="1"/>
  <c r="Q386" i="1"/>
  <c r="P386" i="1"/>
  <c r="O386" i="1"/>
  <c r="Q385" i="1"/>
  <c r="P385" i="1"/>
  <c r="O385" i="1"/>
  <c r="Q384" i="1"/>
  <c r="O384" i="1"/>
  <c r="P384" i="1" s="1"/>
  <c r="Q383" i="1"/>
  <c r="P383" i="1"/>
  <c r="O383" i="1"/>
  <c r="Q382" i="1"/>
  <c r="P382" i="1"/>
  <c r="O382" i="1"/>
  <c r="Q381" i="1"/>
  <c r="P381" i="1"/>
  <c r="O381" i="1"/>
  <c r="Q380" i="1"/>
  <c r="O380" i="1"/>
  <c r="P380" i="1" s="1"/>
  <c r="Q379" i="1"/>
  <c r="O379" i="1"/>
  <c r="P379" i="1" s="1"/>
  <c r="Q378" i="1"/>
  <c r="P378" i="1"/>
  <c r="O378" i="1"/>
  <c r="Q377" i="1"/>
  <c r="P377" i="1"/>
  <c r="O377" i="1"/>
  <c r="Q376" i="1"/>
  <c r="O376" i="1"/>
  <c r="P376" i="1" s="1"/>
  <c r="Q375" i="1"/>
  <c r="P375" i="1"/>
  <c r="O375" i="1"/>
  <c r="Q374" i="1"/>
  <c r="P374" i="1"/>
  <c r="O374" i="1"/>
  <c r="Q373" i="1"/>
  <c r="P373" i="1"/>
  <c r="O373" i="1"/>
  <c r="Q372" i="1"/>
  <c r="O372" i="1"/>
  <c r="P372" i="1" s="1"/>
  <c r="Q371" i="1"/>
  <c r="O371" i="1"/>
  <c r="P371" i="1" s="1"/>
  <c r="Q370" i="1"/>
  <c r="P370" i="1"/>
  <c r="O370" i="1"/>
  <c r="Q369" i="1"/>
  <c r="P369" i="1"/>
  <c r="O369" i="1"/>
  <c r="Q368" i="1"/>
  <c r="O368" i="1"/>
  <c r="P368" i="1" s="1"/>
  <c r="Q367" i="1"/>
  <c r="O367" i="1"/>
  <c r="P367" i="1" s="1"/>
  <c r="Q366" i="1"/>
  <c r="P366" i="1"/>
  <c r="O366" i="1"/>
  <c r="Q365" i="1"/>
  <c r="P365" i="1"/>
  <c r="O365" i="1"/>
  <c r="Q364" i="1"/>
  <c r="P364" i="1"/>
  <c r="O364" i="1"/>
  <c r="Q363" i="1"/>
  <c r="O363" i="1"/>
  <c r="P363" i="1" s="1"/>
  <c r="Q362" i="1"/>
  <c r="O362" i="1"/>
  <c r="P362" i="1" s="1"/>
  <c r="Q361" i="1"/>
  <c r="P361" i="1"/>
  <c r="O361" i="1"/>
  <c r="Q360" i="1"/>
  <c r="O360" i="1"/>
  <c r="P360" i="1" s="1"/>
  <c r="Q359" i="1"/>
  <c r="P359" i="1"/>
  <c r="O359" i="1"/>
  <c r="Q358" i="1"/>
  <c r="P358" i="1"/>
  <c r="O358" i="1"/>
  <c r="Q357" i="1"/>
  <c r="P357" i="1"/>
  <c r="O357" i="1"/>
  <c r="Q356" i="1"/>
  <c r="P356" i="1"/>
  <c r="O356" i="1"/>
  <c r="Q355" i="1"/>
  <c r="O355" i="1"/>
  <c r="P355" i="1" s="1"/>
  <c r="Q354" i="1"/>
  <c r="O354" i="1"/>
  <c r="P354" i="1" s="1"/>
  <c r="Q353" i="1"/>
  <c r="P353" i="1"/>
  <c r="O353" i="1"/>
  <c r="Q352" i="1"/>
  <c r="O352" i="1"/>
  <c r="P352" i="1" s="1"/>
  <c r="Q351" i="1"/>
  <c r="P351" i="1"/>
  <c r="O351" i="1"/>
  <c r="Q350" i="1"/>
  <c r="P350" i="1"/>
  <c r="O350" i="1"/>
  <c r="Q349" i="1"/>
  <c r="P349" i="1"/>
  <c r="O349" i="1"/>
  <c r="Q348" i="1"/>
  <c r="P348" i="1"/>
  <c r="O348" i="1"/>
  <c r="Q347" i="1"/>
  <c r="O347" i="1"/>
  <c r="P347" i="1" s="1"/>
  <c r="Q346" i="1"/>
  <c r="O346" i="1"/>
  <c r="P346" i="1" s="1"/>
  <c r="Q345" i="1"/>
  <c r="P345" i="1"/>
  <c r="O345" i="1"/>
  <c r="Q344" i="1"/>
  <c r="O344" i="1"/>
  <c r="P344" i="1" s="1"/>
  <c r="Q343" i="1"/>
  <c r="P343" i="1"/>
  <c r="O343" i="1"/>
  <c r="Q342" i="1"/>
  <c r="P342" i="1"/>
  <c r="O342" i="1"/>
  <c r="Q341" i="1"/>
  <c r="P341" i="1"/>
  <c r="O341" i="1"/>
  <c r="Q340" i="1"/>
  <c r="P340" i="1"/>
  <c r="O340" i="1"/>
  <c r="Q339" i="1"/>
  <c r="O339" i="1"/>
  <c r="P339" i="1" s="1"/>
  <c r="Q338" i="1"/>
  <c r="O338" i="1"/>
  <c r="P338" i="1" s="1"/>
  <c r="Q337" i="1"/>
  <c r="P337" i="1"/>
  <c r="O337" i="1"/>
  <c r="Q336" i="1"/>
  <c r="O336" i="1"/>
  <c r="P336" i="1" s="1"/>
  <c r="Q335" i="1"/>
  <c r="O335" i="1"/>
  <c r="P335" i="1" s="1"/>
  <c r="Q334" i="1"/>
  <c r="P334" i="1"/>
  <c r="O334" i="1"/>
  <c r="Q333" i="1"/>
  <c r="P333" i="1"/>
  <c r="O333" i="1"/>
  <c r="Q332" i="1"/>
  <c r="P332" i="1"/>
  <c r="O332" i="1"/>
  <c r="Q331" i="1"/>
  <c r="O331" i="1"/>
  <c r="P331" i="1" s="1"/>
  <c r="Q330" i="1"/>
  <c r="O330" i="1"/>
  <c r="P330" i="1" s="1"/>
  <c r="Q329" i="1"/>
  <c r="P329" i="1"/>
  <c r="O329" i="1"/>
  <c r="Q328" i="1"/>
  <c r="O328" i="1"/>
  <c r="P328" i="1" s="1"/>
  <c r="Q327" i="1"/>
  <c r="O327" i="1"/>
  <c r="P327" i="1" s="1"/>
  <c r="Q326" i="1"/>
  <c r="P326" i="1"/>
  <c r="O326" i="1"/>
  <c r="Q325" i="1"/>
  <c r="P325" i="1"/>
  <c r="O325" i="1"/>
  <c r="Q324" i="1"/>
  <c r="P324" i="1"/>
  <c r="O324" i="1"/>
  <c r="Q323" i="1"/>
  <c r="O323" i="1"/>
  <c r="P323" i="1" s="1"/>
  <c r="Q322" i="1"/>
  <c r="O322" i="1"/>
  <c r="P322" i="1" s="1"/>
  <c r="Q321" i="1"/>
  <c r="P321" i="1"/>
  <c r="O321" i="1"/>
  <c r="Q320" i="1"/>
  <c r="O320" i="1"/>
  <c r="P320" i="1" s="1"/>
  <c r="Q319" i="1"/>
  <c r="O319" i="1"/>
  <c r="P319" i="1" s="1"/>
  <c r="Q318" i="1"/>
  <c r="P318" i="1"/>
  <c r="O318" i="1"/>
  <c r="Q317" i="1"/>
  <c r="P317" i="1"/>
  <c r="O317" i="1"/>
  <c r="Q316" i="1"/>
  <c r="P316" i="1"/>
  <c r="O316" i="1"/>
  <c r="Q315" i="1"/>
  <c r="O315" i="1"/>
  <c r="P315" i="1" s="1"/>
  <c r="Q314" i="1"/>
  <c r="O314" i="1"/>
  <c r="P314" i="1" s="1"/>
  <c r="Q313" i="1"/>
  <c r="P313" i="1"/>
  <c r="O313" i="1"/>
  <c r="Q312" i="1"/>
  <c r="O312" i="1"/>
  <c r="P312" i="1" s="1"/>
  <c r="Q311" i="1"/>
  <c r="O311" i="1"/>
  <c r="P311" i="1" s="1"/>
  <c r="Q310" i="1"/>
  <c r="O310" i="1"/>
  <c r="P310" i="1" s="1"/>
  <c r="Q309" i="1"/>
  <c r="P309" i="1"/>
  <c r="O309" i="1"/>
  <c r="Q308" i="1"/>
  <c r="P308" i="1"/>
  <c r="O308" i="1"/>
  <c r="Q307" i="1"/>
  <c r="O307" i="1"/>
  <c r="P307" i="1" s="1"/>
  <c r="Q306" i="1"/>
  <c r="O306" i="1"/>
  <c r="P306" i="1" s="1"/>
  <c r="Q305" i="1"/>
  <c r="P305" i="1"/>
  <c r="O305" i="1"/>
  <c r="Q304" i="1"/>
  <c r="O304" i="1"/>
  <c r="P304" i="1" s="1"/>
  <c r="Q303" i="1"/>
  <c r="O303" i="1"/>
  <c r="P303" i="1" s="1"/>
  <c r="Q302" i="1"/>
  <c r="O302" i="1"/>
  <c r="P302" i="1" s="1"/>
  <c r="Q301" i="1"/>
  <c r="P301" i="1"/>
  <c r="O301" i="1"/>
  <c r="Q300" i="1"/>
  <c r="P300" i="1"/>
  <c r="O300" i="1"/>
  <c r="Q299" i="1"/>
  <c r="O299" i="1"/>
  <c r="P299" i="1" s="1"/>
  <c r="Q298" i="1"/>
  <c r="O298" i="1"/>
  <c r="P298" i="1" s="1"/>
  <c r="Q297" i="1"/>
  <c r="P297" i="1"/>
  <c r="O297" i="1"/>
  <c r="Q296" i="1"/>
  <c r="O296" i="1"/>
  <c r="P296" i="1" s="1"/>
  <c r="Q295" i="1"/>
  <c r="O295" i="1"/>
  <c r="P295" i="1" s="1"/>
  <c r="Q294" i="1"/>
  <c r="O294" i="1"/>
  <c r="P294" i="1" s="1"/>
  <c r="Q293" i="1"/>
  <c r="P293" i="1"/>
  <c r="O293" i="1"/>
  <c r="Q292" i="1"/>
  <c r="P292" i="1"/>
  <c r="O292" i="1"/>
  <c r="Q291" i="1"/>
  <c r="O291" i="1"/>
  <c r="P291" i="1" s="1"/>
  <c r="Q290" i="1"/>
  <c r="O290" i="1"/>
  <c r="P290" i="1" s="1"/>
  <c r="Q289" i="1"/>
  <c r="P289" i="1"/>
  <c r="O289" i="1"/>
  <c r="Q288" i="1"/>
  <c r="O288" i="1"/>
  <c r="P288" i="1" s="1"/>
  <c r="Q287" i="1"/>
  <c r="O287" i="1"/>
  <c r="P287" i="1" s="1"/>
  <c r="Q286" i="1"/>
  <c r="O286" i="1"/>
  <c r="P286" i="1" s="1"/>
  <c r="Q285" i="1"/>
  <c r="P285" i="1"/>
  <c r="O285" i="1"/>
  <c r="Q284" i="1"/>
  <c r="P284" i="1"/>
  <c r="O284" i="1"/>
  <c r="Q283" i="1"/>
  <c r="O283" i="1"/>
  <c r="P283" i="1" s="1"/>
  <c r="Q282" i="1"/>
  <c r="O282" i="1"/>
  <c r="P282" i="1" s="1"/>
  <c r="Q281" i="1"/>
  <c r="P281" i="1"/>
  <c r="O281" i="1"/>
  <c r="Q280" i="1"/>
  <c r="O280" i="1"/>
  <c r="P280" i="1" s="1"/>
  <c r="Q279" i="1"/>
  <c r="O279" i="1"/>
  <c r="P279" i="1" s="1"/>
  <c r="Q278" i="1"/>
  <c r="O278" i="1"/>
  <c r="P278" i="1" s="1"/>
  <c r="Q277" i="1"/>
  <c r="P277" i="1"/>
  <c r="O277" i="1"/>
  <c r="Q276" i="1"/>
  <c r="P276" i="1"/>
  <c r="O276" i="1"/>
  <c r="Q275" i="1"/>
  <c r="O275" i="1"/>
  <c r="P275" i="1" s="1"/>
  <c r="Q274" i="1"/>
  <c r="O274" i="1"/>
  <c r="P274" i="1" s="1"/>
  <c r="Q273" i="1"/>
  <c r="P273" i="1"/>
  <c r="O273" i="1"/>
  <c r="Q272" i="1"/>
  <c r="O272" i="1"/>
  <c r="P272" i="1" s="1"/>
  <c r="Q271" i="1"/>
  <c r="O271" i="1"/>
  <c r="P271" i="1" s="1"/>
  <c r="Q270" i="1"/>
  <c r="O270" i="1"/>
  <c r="P270" i="1" s="1"/>
  <c r="Q269" i="1"/>
  <c r="P269" i="1"/>
  <c r="O269" i="1"/>
  <c r="Q268" i="1"/>
  <c r="P268" i="1"/>
  <c r="O268" i="1"/>
  <c r="Q267" i="1"/>
  <c r="O267" i="1"/>
  <c r="P267" i="1" s="1"/>
  <c r="Q266" i="1"/>
  <c r="O266" i="1"/>
  <c r="P266" i="1" s="1"/>
  <c r="Q265" i="1"/>
  <c r="P265" i="1"/>
  <c r="O265" i="1"/>
  <c r="Q264" i="1"/>
  <c r="O264" i="1"/>
  <c r="P264" i="1" s="1"/>
  <c r="Q263" i="1"/>
  <c r="O263" i="1"/>
  <c r="P263" i="1" s="1"/>
  <c r="Q262" i="1"/>
  <c r="O262" i="1"/>
  <c r="P262" i="1" s="1"/>
  <c r="Q261" i="1"/>
  <c r="P261" i="1"/>
  <c r="O261" i="1"/>
  <c r="Q260" i="1"/>
  <c r="P260" i="1"/>
  <c r="O260" i="1"/>
  <c r="Q259" i="1"/>
  <c r="O259" i="1"/>
  <c r="P259" i="1" s="1"/>
  <c r="Q258" i="1"/>
  <c r="O258" i="1"/>
  <c r="P258" i="1" s="1"/>
  <c r="Q257" i="1"/>
  <c r="P257" i="1"/>
  <c r="O257" i="1"/>
  <c r="Q256" i="1"/>
  <c r="O256" i="1"/>
  <c r="P256" i="1" s="1"/>
  <c r="Q255" i="1"/>
  <c r="O255" i="1"/>
  <c r="P255" i="1" s="1"/>
  <c r="Q254" i="1"/>
  <c r="O254" i="1"/>
  <c r="P254" i="1" s="1"/>
  <c r="Q253" i="1"/>
  <c r="P253" i="1"/>
  <c r="O253" i="1"/>
  <c r="Q252" i="1"/>
  <c r="P252" i="1"/>
  <c r="O252" i="1"/>
  <c r="Q251" i="1"/>
  <c r="O251" i="1"/>
  <c r="P251" i="1" s="1"/>
  <c r="Q250" i="1"/>
  <c r="O250" i="1"/>
  <c r="P250" i="1" s="1"/>
  <c r="Q249" i="1"/>
  <c r="P249" i="1"/>
  <c r="O249" i="1"/>
  <c r="Q248" i="1"/>
  <c r="O248" i="1"/>
  <c r="P248" i="1" s="1"/>
  <c r="Q247" i="1"/>
  <c r="O247" i="1"/>
  <c r="P247" i="1" s="1"/>
  <c r="Q246" i="1"/>
  <c r="O246" i="1"/>
  <c r="P246" i="1" s="1"/>
  <c r="Q245" i="1"/>
  <c r="P245" i="1"/>
  <c r="O245" i="1"/>
  <c r="Q244" i="1"/>
  <c r="P244" i="1"/>
  <c r="O244" i="1"/>
  <c r="Q243" i="1"/>
  <c r="O243" i="1"/>
  <c r="P243" i="1" s="1"/>
  <c r="Q242" i="1"/>
  <c r="O242" i="1"/>
  <c r="P242" i="1" s="1"/>
  <c r="Q241" i="1"/>
  <c r="P241" i="1"/>
  <c r="O241" i="1"/>
  <c r="Q240" i="1"/>
  <c r="O240" i="1"/>
  <c r="P240" i="1" s="1"/>
  <c r="Q239" i="1"/>
  <c r="O239" i="1"/>
  <c r="P239" i="1" s="1"/>
  <c r="Q238" i="1"/>
  <c r="O238" i="1"/>
  <c r="P238" i="1" s="1"/>
  <c r="Q237" i="1"/>
  <c r="P237" i="1"/>
  <c r="O237" i="1"/>
  <c r="Q236" i="1"/>
  <c r="P236" i="1"/>
  <c r="O236" i="1"/>
  <c r="Q235" i="1"/>
  <c r="O235" i="1"/>
  <c r="P235" i="1" s="1"/>
  <c r="Q234" i="1"/>
  <c r="O234" i="1"/>
  <c r="P234" i="1" s="1"/>
  <c r="Q233" i="1"/>
  <c r="P233" i="1"/>
  <c r="O233" i="1"/>
  <c r="Q232" i="1"/>
  <c r="O232" i="1"/>
  <c r="P232" i="1" s="1"/>
  <c r="Q231" i="1"/>
  <c r="O231" i="1"/>
  <c r="P231" i="1" s="1"/>
  <c r="Q230" i="1"/>
  <c r="O230" i="1"/>
  <c r="P230" i="1" s="1"/>
  <c r="Q229" i="1"/>
  <c r="P229" i="1"/>
  <c r="O229" i="1"/>
  <c r="Q228" i="1"/>
  <c r="P228" i="1"/>
  <c r="O228" i="1"/>
  <c r="Q227" i="1"/>
  <c r="O227" i="1"/>
  <c r="P227" i="1" s="1"/>
  <c r="Q226" i="1"/>
  <c r="O226" i="1"/>
  <c r="P226" i="1" s="1"/>
  <c r="Q225" i="1"/>
  <c r="P225" i="1"/>
  <c r="O225" i="1"/>
  <c r="Q224" i="1"/>
  <c r="O224" i="1"/>
  <c r="P224" i="1" s="1"/>
  <c r="Q223" i="1"/>
  <c r="O223" i="1"/>
  <c r="P223" i="1" s="1"/>
  <c r="Q222" i="1"/>
  <c r="O222" i="1"/>
  <c r="P222" i="1" s="1"/>
  <c r="Q221" i="1"/>
  <c r="P221" i="1"/>
  <c r="O221" i="1"/>
  <c r="Q220" i="1"/>
  <c r="P220" i="1"/>
  <c r="O220" i="1"/>
  <c r="Q219" i="1"/>
  <c r="O219" i="1"/>
  <c r="P219" i="1" s="1"/>
  <c r="Q218" i="1"/>
  <c r="O218" i="1"/>
  <c r="P218" i="1" s="1"/>
  <c r="Q217" i="1"/>
  <c r="P217" i="1"/>
  <c r="O217" i="1"/>
  <c r="Q216" i="1"/>
  <c r="O216" i="1"/>
  <c r="P216" i="1" s="1"/>
  <c r="Q215" i="1"/>
  <c r="O215" i="1"/>
  <c r="P215" i="1" s="1"/>
  <c r="Q214" i="1"/>
  <c r="O214" i="1"/>
  <c r="P214" i="1" s="1"/>
  <c r="Q213" i="1"/>
  <c r="P213" i="1"/>
  <c r="O213" i="1"/>
  <c r="Q212" i="1"/>
  <c r="P212" i="1"/>
  <c r="O212" i="1"/>
  <c r="Q211" i="1"/>
  <c r="O211" i="1"/>
  <c r="P211" i="1" s="1"/>
  <c r="Q210" i="1"/>
  <c r="O210" i="1"/>
  <c r="P210" i="1" s="1"/>
  <c r="Q209" i="1"/>
  <c r="P209" i="1"/>
  <c r="O209" i="1"/>
  <c r="Q208" i="1"/>
  <c r="O208" i="1"/>
  <c r="P208" i="1" s="1"/>
  <c r="Q207" i="1"/>
  <c r="O207" i="1"/>
  <c r="P207" i="1" s="1"/>
  <c r="Q206" i="1"/>
  <c r="O206" i="1"/>
  <c r="P206" i="1" s="1"/>
  <c r="Q205" i="1"/>
  <c r="P205" i="1"/>
  <c r="O205" i="1"/>
  <c r="Q204" i="1"/>
  <c r="P204" i="1"/>
  <c r="O204" i="1"/>
  <c r="Q203" i="1"/>
  <c r="O203" i="1"/>
  <c r="P203" i="1" s="1"/>
  <c r="Q202" i="1"/>
  <c r="O202" i="1"/>
  <c r="P202" i="1" s="1"/>
  <c r="Q201" i="1"/>
  <c r="P201" i="1"/>
  <c r="O201" i="1"/>
  <c r="Q200" i="1"/>
  <c r="O200" i="1"/>
  <c r="P200" i="1" s="1"/>
  <c r="Q199" i="1"/>
  <c r="O199" i="1"/>
  <c r="P199" i="1" s="1"/>
  <c r="Q198" i="1"/>
  <c r="O198" i="1"/>
  <c r="P198" i="1" s="1"/>
  <c r="Q197" i="1"/>
  <c r="P197" i="1"/>
  <c r="O197" i="1"/>
  <c r="Q196" i="1"/>
  <c r="P196" i="1"/>
  <c r="O196" i="1"/>
  <c r="Q195" i="1"/>
  <c r="O195" i="1"/>
  <c r="P195" i="1" s="1"/>
  <c r="Q194" i="1"/>
  <c r="O194" i="1"/>
  <c r="P194" i="1" s="1"/>
  <c r="Q193" i="1"/>
  <c r="P193" i="1"/>
  <c r="O193" i="1"/>
  <c r="Q192" i="1"/>
  <c r="O192" i="1"/>
  <c r="P192" i="1" s="1"/>
  <c r="Q191" i="1"/>
  <c r="O191" i="1"/>
  <c r="P191" i="1" s="1"/>
  <c r="Q190" i="1"/>
  <c r="O190" i="1"/>
  <c r="P190" i="1" s="1"/>
  <c r="Q189" i="1"/>
  <c r="P189" i="1"/>
  <c r="O189" i="1"/>
  <c r="Q188" i="1"/>
  <c r="P188" i="1"/>
  <c r="O188" i="1"/>
  <c r="Q187" i="1"/>
  <c r="O187" i="1"/>
  <c r="P187" i="1" s="1"/>
  <c r="Q186" i="1"/>
  <c r="O186" i="1"/>
  <c r="P186" i="1" s="1"/>
  <c r="Q185" i="1"/>
  <c r="P185" i="1"/>
  <c r="O185" i="1"/>
  <c r="Q184" i="1"/>
  <c r="O184" i="1"/>
  <c r="P184" i="1" s="1"/>
  <c r="Q183" i="1"/>
  <c r="O183" i="1"/>
  <c r="P183" i="1" s="1"/>
  <c r="Q182" i="1"/>
  <c r="O182" i="1"/>
  <c r="P182" i="1" s="1"/>
  <c r="Q181" i="1"/>
  <c r="P181" i="1"/>
  <c r="O181" i="1"/>
  <c r="Q180" i="1"/>
  <c r="P180" i="1"/>
  <c r="O180" i="1"/>
  <c r="Q179" i="1"/>
  <c r="O179" i="1"/>
  <c r="P179" i="1" s="1"/>
  <c r="Q178" i="1"/>
  <c r="O178" i="1"/>
  <c r="P178" i="1" s="1"/>
  <c r="Q177" i="1"/>
  <c r="P177" i="1"/>
  <c r="O177" i="1"/>
  <c r="Q176" i="1"/>
  <c r="O176" i="1"/>
  <c r="P176" i="1" s="1"/>
  <c r="Q175" i="1"/>
  <c r="O175" i="1"/>
  <c r="P175" i="1" s="1"/>
  <c r="Q174" i="1"/>
  <c r="O174" i="1"/>
  <c r="P174" i="1" s="1"/>
  <c r="Q173" i="1"/>
  <c r="P173" i="1"/>
  <c r="O173" i="1"/>
  <c r="Q172" i="1"/>
  <c r="P172" i="1"/>
  <c r="O172" i="1"/>
  <c r="Q171" i="1"/>
  <c r="O171" i="1"/>
  <c r="P171" i="1" s="1"/>
  <c r="Q170" i="1"/>
  <c r="O170" i="1"/>
  <c r="P170" i="1" s="1"/>
  <c r="Q169" i="1"/>
  <c r="P169" i="1"/>
  <c r="O169" i="1"/>
  <c r="Q168" i="1"/>
  <c r="O168" i="1"/>
  <c r="P168" i="1" s="1"/>
  <c r="Q167" i="1"/>
  <c r="O167" i="1"/>
  <c r="P167" i="1" s="1"/>
  <c r="Q166" i="1"/>
  <c r="O166" i="1"/>
  <c r="P166" i="1" s="1"/>
  <c r="Q165" i="1"/>
  <c r="P165" i="1"/>
  <c r="O165" i="1"/>
  <c r="Q164" i="1"/>
  <c r="P164" i="1"/>
  <c r="O164" i="1"/>
  <c r="Q163" i="1"/>
  <c r="O163" i="1"/>
  <c r="P163" i="1" s="1"/>
  <c r="Q162" i="1"/>
  <c r="O162" i="1"/>
  <c r="P162" i="1" s="1"/>
  <c r="Q161" i="1"/>
  <c r="P161" i="1"/>
  <c r="O161" i="1"/>
  <c r="Q160" i="1"/>
  <c r="O160" i="1"/>
  <c r="P160" i="1" s="1"/>
  <c r="Q159" i="1"/>
  <c r="O159" i="1"/>
  <c r="P159" i="1" s="1"/>
  <c r="Q158" i="1"/>
  <c r="O158" i="1"/>
  <c r="P158" i="1" s="1"/>
  <c r="Q157" i="1"/>
  <c r="P157" i="1"/>
  <c r="O157" i="1"/>
  <c r="Q156" i="1"/>
  <c r="P156" i="1"/>
  <c r="O156" i="1"/>
  <c r="Q155" i="1"/>
  <c r="O155" i="1"/>
  <c r="P155" i="1" s="1"/>
  <c r="Q154" i="1"/>
  <c r="O154" i="1"/>
  <c r="P154" i="1" s="1"/>
  <c r="Q153" i="1"/>
  <c r="P153" i="1"/>
  <c r="O153" i="1"/>
  <c r="Q152" i="1"/>
  <c r="O152" i="1"/>
  <c r="P152" i="1" s="1"/>
  <c r="Q151" i="1"/>
  <c r="O151" i="1"/>
  <c r="P151" i="1" s="1"/>
  <c r="Q150" i="1"/>
  <c r="O150" i="1"/>
  <c r="P150" i="1" s="1"/>
  <c r="Q149" i="1"/>
  <c r="P149" i="1"/>
  <c r="O149" i="1"/>
  <c r="Q148" i="1"/>
  <c r="P148" i="1"/>
  <c r="O148" i="1"/>
  <c r="Q147" i="1"/>
  <c r="O147" i="1"/>
  <c r="P147" i="1" s="1"/>
  <c r="Q146" i="1"/>
  <c r="O146" i="1"/>
  <c r="P146" i="1" s="1"/>
  <c r="Q145" i="1"/>
  <c r="P145" i="1"/>
  <c r="O145" i="1"/>
  <c r="Q144" i="1"/>
  <c r="O144" i="1"/>
  <c r="P144" i="1" s="1"/>
  <c r="Q143" i="1"/>
  <c r="O143" i="1"/>
  <c r="P143" i="1" s="1"/>
  <c r="Q142" i="1"/>
  <c r="O142" i="1"/>
  <c r="P142" i="1" s="1"/>
  <c r="Q141" i="1"/>
  <c r="P141" i="1"/>
  <c r="O141" i="1"/>
  <c r="Q140" i="1"/>
  <c r="P140" i="1"/>
  <c r="O140" i="1"/>
  <c r="Q139" i="1"/>
  <c r="O139" i="1"/>
  <c r="P139" i="1" s="1"/>
  <c r="Q138" i="1"/>
  <c r="O138" i="1"/>
  <c r="P138" i="1" s="1"/>
  <c r="Q137" i="1"/>
  <c r="O137" i="1"/>
  <c r="P137" i="1" s="1"/>
  <c r="Q136" i="1"/>
  <c r="O136" i="1"/>
  <c r="P136" i="1" s="1"/>
  <c r="Q135" i="1"/>
  <c r="O135" i="1"/>
  <c r="P135" i="1" s="1"/>
  <c r="Q134" i="1"/>
  <c r="P134" i="1"/>
  <c r="O134" i="1"/>
  <c r="Q133" i="1"/>
  <c r="P133" i="1"/>
  <c r="O133" i="1"/>
  <c r="Q132" i="1"/>
  <c r="P132" i="1"/>
  <c r="O132" i="1"/>
  <c r="Q131" i="1"/>
  <c r="O131" i="1"/>
  <c r="P131" i="1" s="1"/>
  <c r="Q130" i="1"/>
  <c r="O130" i="1"/>
  <c r="P130" i="1" s="1"/>
  <c r="Q129" i="1"/>
  <c r="O129" i="1"/>
  <c r="P129" i="1" s="1"/>
  <c r="Q128" i="1"/>
  <c r="O128" i="1"/>
  <c r="P128" i="1" s="1"/>
  <c r="Q127" i="1"/>
  <c r="O127" i="1"/>
  <c r="P127" i="1" s="1"/>
  <c r="Q126" i="1"/>
  <c r="P126" i="1"/>
  <c r="O126" i="1"/>
  <c r="Q125" i="1"/>
  <c r="P125" i="1"/>
  <c r="O125" i="1"/>
  <c r="Q124" i="1"/>
  <c r="P124" i="1"/>
  <c r="O124" i="1"/>
  <c r="Q123" i="1"/>
  <c r="O123" i="1"/>
  <c r="P123" i="1" s="1"/>
  <c r="Q122" i="1"/>
  <c r="O122" i="1"/>
  <c r="P122" i="1" s="1"/>
  <c r="Q121" i="1"/>
  <c r="O121" i="1"/>
  <c r="P121" i="1" s="1"/>
  <c r="Q120" i="1"/>
  <c r="O120" i="1"/>
  <c r="P120" i="1" s="1"/>
  <c r="Q119" i="1"/>
  <c r="O119" i="1"/>
  <c r="P119" i="1" s="1"/>
  <c r="Q118" i="1"/>
  <c r="P118" i="1"/>
  <c r="O118" i="1"/>
  <c r="Q117" i="1"/>
  <c r="P117" i="1"/>
  <c r="O117" i="1"/>
  <c r="Q116" i="1"/>
  <c r="P116" i="1"/>
  <c r="O116" i="1"/>
  <c r="Q115" i="1"/>
  <c r="O115" i="1"/>
  <c r="P115" i="1" s="1"/>
  <c r="Q114" i="1"/>
  <c r="O114" i="1"/>
  <c r="P114" i="1" s="1"/>
  <c r="Q113" i="1"/>
  <c r="O113" i="1"/>
  <c r="P113" i="1" s="1"/>
  <c r="Q112" i="1"/>
  <c r="O112" i="1"/>
  <c r="P112" i="1" s="1"/>
  <c r="Q111" i="1"/>
  <c r="O111" i="1"/>
  <c r="P111" i="1" s="1"/>
  <c r="Q110" i="1"/>
  <c r="P110" i="1"/>
  <c r="O110" i="1"/>
  <c r="Q109" i="1"/>
  <c r="P109" i="1"/>
  <c r="O109" i="1"/>
  <c r="Q108" i="1"/>
  <c r="P108" i="1"/>
  <c r="O108" i="1"/>
  <c r="Q107" i="1"/>
  <c r="O107" i="1"/>
  <c r="P107" i="1" s="1"/>
  <c r="Q106" i="1"/>
  <c r="O106" i="1"/>
  <c r="P106" i="1" s="1"/>
  <c r="Q105" i="1"/>
  <c r="O105" i="1"/>
  <c r="P105" i="1" s="1"/>
  <c r="Q104" i="1"/>
  <c r="O104" i="1"/>
  <c r="P104" i="1" s="1"/>
  <c r="Q103" i="1"/>
  <c r="O103" i="1"/>
  <c r="P103" i="1" s="1"/>
  <c r="Q102" i="1"/>
  <c r="P102" i="1"/>
  <c r="O102" i="1"/>
  <c r="Q101" i="1"/>
  <c r="P101" i="1"/>
  <c r="O101" i="1"/>
  <c r="Q100" i="1"/>
  <c r="P100" i="1"/>
  <c r="O100" i="1"/>
  <c r="Q99" i="1"/>
  <c r="O99" i="1"/>
  <c r="P99" i="1" s="1"/>
  <c r="Q98" i="1"/>
  <c r="O98" i="1"/>
  <c r="P98" i="1" s="1"/>
  <c r="Q97" i="1"/>
  <c r="O97" i="1"/>
  <c r="P97" i="1" s="1"/>
  <c r="Q96" i="1"/>
  <c r="O96" i="1"/>
  <c r="P96" i="1" s="1"/>
  <c r="Q95" i="1"/>
  <c r="O95" i="1"/>
  <c r="P95" i="1" s="1"/>
  <c r="Q94" i="1"/>
  <c r="P94" i="1"/>
  <c r="O94" i="1"/>
  <c r="Q93" i="1"/>
  <c r="P93" i="1"/>
  <c r="O93" i="1"/>
  <c r="Q92" i="1"/>
  <c r="P92" i="1"/>
  <c r="O92" i="1"/>
  <c r="Q91" i="1"/>
  <c r="O91" i="1"/>
  <c r="P91" i="1" s="1"/>
  <c r="Q90" i="1"/>
  <c r="O90" i="1"/>
  <c r="P90" i="1" s="1"/>
  <c r="Q89" i="1"/>
  <c r="O89" i="1"/>
  <c r="P89" i="1" s="1"/>
  <c r="Q88" i="1"/>
  <c r="O88" i="1"/>
  <c r="P88" i="1" s="1"/>
  <c r="Q87" i="1"/>
  <c r="O87" i="1"/>
  <c r="P87" i="1" s="1"/>
  <c r="Q86" i="1"/>
  <c r="P86" i="1"/>
  <c r="O86" i="1"/>
  <c r="Q85" i="1"/>
  <c r="P85" i="1"/>
  <c r="O85" i="1"/>
  <c r="Q84" i="1"/>
  <c r="P84" i="1"/>
  <c r="O84" i="1"/>
  <c r="Q83" i="1"/>
  <c r="O83" i="1"/>
  <c r="P83" i="1" s="1"/>
  <c r="Q82" i="1"/>
  <c r="O82" i="1"/>
  <c r="P82" i="1" s="1"/>
  <c r="Q81" i="1"/>
  <c r="O81" i="1"/>
  <c r="P81" i="1" s="1"/>
  <c r="Q80" i="1"/>
  <c r="O80" i="1"/>
  <c r="P80" i="1" s="1"/>
  <c r="Q79" i="1"/>
  <c r="O79" i="1"/>
  <c r="P79" i="1" s="1"/>
  <c r="Q78" i="1"/>
  <c r="P78" i="1"/>
  <c r="O78" i="1"/>
  <c r="Q77" i="1"/>
  <c r="P77" i="1"/>
  <c r="O77" i="1"/>
  <c r="Q76" i="1"/>
  <c r="P76" i="1"/>
  <c r="O76" i="1"/>
  <c r="Q75" i="1"/>
  <c r="O75" i="1"/>
  <c r="P75" i="1" s="1"/>
  <c r="Q74" i="1"/>
  <c r="O74" i="1"/>
  <c r="P74" i="1" s="1"/>
  <c r="Q73" i="1"/>
  <c r="O73" i="1"/>
  <c r="P73" i="1" s="1"/>
  <c r="Q72" i="1"/>
  <c r="O72" i="1"/>
  <c r="P72" i="1" s="1"/>
  <c r="Q71" i="1"/>
  <c r="O71" i="1"/>
  <c r="P71" i="1" s="1"/>
  <c r="Q70" i="1"/>
  <c r="P70" i="1"/>
  <c r="O70" i="1"/>
  <c r="Q69" i="1"/>
  <c r="P69" i="1"/>
  <c r="O69" i="1"/>
  <c r="Q68" i="1"/>
  <c r="P68" i="1"/>
  <c r="O68" i="1"/>
  <c r="Q67" i="1"/>
  <c r="O67" i="1"/>
  <c r="P67" i="1" s="1"/>
  <c r="Q66" i="1"/>
  <c r="O66" i="1"/>
  <c r="P66" i="1" s="1"/>
  <c r="Q65" i="1"/>
  <c r="O65" i="1"/>
  <c r="P65" i="1" s="1"/>
  <c r="Q64" i="1"/>
  <c r="O64" i="1"/>
  <c r="P64" i="1" s="1"/>
  <c r="Q63" i="1"/>
  <c r="O63" i="1"/>
  <c r="P63" i="1" s="1"/>
  <c r="Q62" i="1"/>
  <c r="P62" i="1"/>
  <c r="O62" i="1"/>
  <c r="Q61" i="1"/>
  <c r="P61" i="1"/>
  <c r="O61" i="1"/>
  <c r="Q60" i="1"/>
  <c r="P60" i="1"/>
  <c r="O60" i="1"/>
  <c r="Q59" i="1"/>
  <c r="O59" i="1"/>
  <c r="P59" i="1" s="1"/>
  <c r="Q58" i="1"/>
  <c r="O58" i="1"/>
  <c r="P58" i="1" s="1"/>
  <c r="Q57" i="1"/>
  <c r="O57" i="1"/>
  <c r="P57" i="1" s="1"/>
  <c r="Q56" i="1"/>
  <c r="O56" i="1"/>
  <c r="P56" i="1" s="1"/>
  <c r="Q55" i="1"/>
  <c r="O55" i="1"/>
  <c r="P55" i="1" s="1"/>
  <c r="Q54" i="1"/>
  <c r="P54" i="1"/>
  <c r="O54" i="1"/>
  <c r="Q53" i="1"/>
  <c r="P53" i="1"/>
  <c r="O53" i="1"/>
  <c r="Q52" i="1"/>
  <c r="P52" i="1"/>
  <c r="O52" i="1"/>
  <c r="Q51" i="1"/>
  <c r="O51" i="1"/>
  <c r="P51" i="1" s="1"/>
  <c r="Q50" i="1"/>
  <c r="O50" i="1"/>
  <c r="P50" i="1" s="1"/>
  <c r="Q49" i="1"/>
  <c r="O49" i="1"/>
  <c r="P49" i="1" s="1"/>
  <c r="Q48" i="1"/>
  <c r="O48" i="1"/>
  <c r="P48" i="1" s="1"/>
  <c r="Q47" i="1"/>
  <c r="O47" i="1"/>
  <c r="P47" i="1" s="1"/>
  <c r="Q46" i="1"/>
  <c r="P46" i="1"/>
  <c r="O46" i="1"/>
  <c r="Q45" i="1"/>
  <c r="P45" i="1"/>
  <c r="O45" i="1"/>
  <c r="Q44" i="1"/>
  <c r="P44" i="1"/>
  <c r="O44" i="1"/>
  <c r="Q43" i="1"/>
  <c r="O43" i="1"/>
  <c r="P43" i="1" s="1"/>
  <c r="Q42" i="1"/>
  <c r="O42" i="1"/>
  <c r="P42" i="1" s="1"/>
  <c r="Q41" i="1"/>
  <c r="O41" i="1"/>
  <c r="P41" i="1" s="1"/>
  <c r="Q40" i="1"/>
  <c r="O40" i="1"/>
  <c r="P40" i="1" s="1"/>
  <c r="Q39" i="1"/>
  <c r="O39" i="1"/>
  <c r="P39" i="1" s="1"/>
  <c r="Q38" i="1"/>
  <c r="P38" i="1"/>
  <c r="O38" i="1"/>
  <c r="Q37" i="1"/>
  <c r="P37" i="1"/>
  <c r="O37" i="1"/>
  <c r="Q36" i="1"/>
  <c r="P36" i="1"/>
  <c r="O36" i="1"/>
  <c r="Q35" i="1"/>
  <c r="O35" i="1"/>
  <c r="P35" i="1" s="1"/>
  <c r="Q34" i="1"/>
  <c r="O34" i="1"/>
  <c r="P34" i="1" s="1"/>
  <c r="Q33" i="1"/>
  <c r="O33" i="1"/>
  <c r="P33" i="1" s="1"/>
  <c r="Q32" i="1"/>
  <c r="O32" i="1"/>
  <c r="P32" i="1" s="1"/>
  <c r="Q31" i="1"/>
  <c r="O31" i="1"/>
  <c r="P31" i="1" s="1"/>
  <c r="Q30" i="1"/>
  <c r="P30" i="1"/>
  <c r="O30" i="1"/>
  <c r="Q29" i="1"/>
  <c r="P29" i="1"/>
  <c r="O29" i="1"/>
  <c r="Q28" i="1"/>
  <c r="P28" i="1"/>
  <c r="O28" i="1"/>
  <c r="Q27" i="1"/>
  <c r="O27" i="1"/>
  <c r="P27" i="1" s="1"/>
  <c r="Q26" i="1"/>
  <c r="O26" i="1"/>
  <c r="P26" i="1" s="1"/>
  <c r="Q25" i="1"/>
  <c r="O25" i="1"/>
  <c r="P25" i="1" s="1"/>
  <c r="Q24" i="1"/>
  <c r="O24" i="1"/>
  <c r="P24" i="1" s="1"/>
  <c r="Q23" i="1"/>
  <c r="O23" i="1"/>
  <c r="P23" i="1" s="1"/>
  <c r="Q22" i="1"/>
  <c r="P22" i="1"/>
  <c r="O22" i="1"/>
  <c r="Q21" i="1"/>
  <c r="P21" i="1"/>
  <c r="O21" i="1"/>
  <c r="Q20" i="1"/>
  <c r="P20" i="1"/>
  <c r="O20" i="1"/>
  <c r="Q19" i="1"/>
  <c r="O19" i="1"/>
  <c r="P19" i="1" s="1"/>
  <c r="Q18" i="1"/>
  <c r="O18" i="1"/>
  <c r="P18" i="1" s="1"/>
  <c r="Q17" i="1"/>
  <c r="O17" i="1"/>
  <c r="P17" i="1" s="1"/>
  <c r="Q16" i="1"/>
  <c r="O16" i="1"/>
  <c r="P16" i="1" s="1"/>
  <c r="Q15" i="1"/>
  <c r="O15" i="1"/>
  <c r="P15" i="1" s="1"/>
  <c r="Q14" i="1"/>
  <c r="P14" i="1"/>
  <c r="O14" i="1"/>
  <c r="Q13" i="1"/>
  <c r="P13" i="1"/>
  <c r="O13" i="1"/>
  <c r="Q12" i="1"/>
  <c r="P12" i="1"/>
  <c r="O12" i="1"/>
  <c r="Q11" i="1"/>
  <c r="O11" i="1"/>
  <c r="P11" i="1" s="1"/>
  <c r="Q10" i="1"/>
  <c r="O10" i="1"/>
  <c r="P10" i="1" s="1"/>
  <c r="Q9" i="1"/>
  <c r="O9" i="1"/>
  <c r="P9" i="1" s="1"/>
  <c r="Q8" i="1"/>
  <c r="O8" i="1"/>
  <c r="P8" i="1" s="1"/>
  <c r="Q7" i="1"/>
  <c r="O7" i="1"/>
  <c r="P7" i="1" s="1"/>
  <c r="Q6" i="1"/>
  <c r="P6" i="1"/>
  <c r="O6" i="1"/>
  <c r="Q5" i="1"/>
  <c r="P5" i="1"/>
  <c r="O5" i="1"/>
  <c r="Q4" i="1"/>
  <c r="P4" i="1"/>
  <c r="O4" i="1"/>
  <c r="Q3" i="1"/>
  <c r="O3" i="1"/>
  <c r="P3" i="1" s="1"/>
  <c r="Q2" i="1"/>
  <c r="O2" i="1"/>
  <c r="P2" i="1" s="1"/>
</calcChain>
</file>

<file path=xl/sharedStrings.xml><?xml version="1.0" encoding="utf-8"?>
<sst xmlns="http://schemas.openxmlformats.org/spreadsheetml/2006/main" count="4486" uniqueCount="1495">
  <si>
    <t>Tests</t>
  </si>
  <si>
    <t>Thématique</t>
  </si>
  <si>
    <t>Num them</t>
  </si>
  <si>
    <t>Critere</t>
  </si>
  <si>
    <t>Nom Critère</t>
  </si>
  <si>
    <t>Methodologie</t>
  </si>
  <si>
    <t>Thématique (URL)</t>
  </si>
  <si>
    <t>Critère (URL)</t>
  </si>
  <si>
    <t>Test (URL)</t>
  </si>
  <si>
    <t>Handicap concerné</t>
  </si>
  <si>
    <t>Resultat Obtenu</t>
  </si>
  <si>
    <t>Severité</t>
  </si>
  <si>
    <t>Solution</t>
  </si>
  <si>
    <t>Reference</t>
  </si>
  <si>
    <t>Principles ID</t>
  </si>
  <si>
    <t xml:space="preserve">Principles </t>
  </si>
  <si>
    <t>Level</t>
  </si>
  <si>
    <t>Complement</t>
  </si>
  <si>
    <t>G94</t>
  </si>
  <si>
    <t>Text Alternatives</t>
  </si>
  <si>
    <t>1.1</t>
  </si>
  <si>
    <t>1.1.1</t>
  </si>
  <si>
    <t>Non-text Content</t>
  </si>
  <si>
    <t>Providing short text alternative for non-text content that serves the same purpose and presents the same information as the non-text content
Procedure
1. Remove, hide, or mask the non-text content
2. Replace it with the text alternative
3. Check that nothing is lost (the purpose of the non-text content is met by the text alternative)
4. If the non-text content contains words that are important to understanding the content, the words are included in the text alternative
Expected Results
- Check #3 is true. If the non-text content contains words that are important to understanding the content, check #4 is also true</t>
  </si>
  <si>
    <t>https://www.w3.org/WAI/WCAG22/quickref/?versions=2.1&amp;showtechniques=121%2C122%2C111#text-alternatives</t>
  </si>
  <si>
    <t>https://www.w3.org/WAI/WCAG22/quickref/?versions=2.1&amp;showtechniques=121%2C122%2C111#non-text-content</t>
  </si>
  <si>
    <t>https://www.w3.org/WAI/WCAG22/Techniques/general/G94</t>
  </si>
  <si>
    <t>All non-text content that is presented to the user has a text alternative that serves the equivalent purpose</t>
  </si>
  <si>
    <t>G95</t>
  </si>
  <si>
    <t>Providing short text alternatives that provide a brief description of the non-text content
Procedure
1. Check for the presence of a short text alternative that provides a brief description of the non-text content.
Expected Results
- Check #1 is true.</t>
  </si>
  <si>
    <t>https://www.w3.org/WAI/WCAG22/Techniques/general/G95</t>
  </si>
  <si>
    <t>G82</t>
  </si>
  <si>
    <t>Providing a text alternative that identifies the purpose of interactive non-text content
Procedure
1. Remove, hide, or mask the non-text content.
2. Replace it with the text alternative.
3. Check that the purpose of the non-text content is clear - even if function is lost.
Expected Results
- #3 is true.</t>
  </si>
  <si>
    <t>https://www.w3.org/WAI/WCAG22/Techniques/general/G82</t>
  </si>
  <si>
    <t>G68</t>
  </si>
  <si>
    <t>Providing a short text alternative that describes the purpose of live audio-only and live video-only content
Procedure
1. Remove, hide, or mask the non-text content.
2. Display the short text alternative(s).
3. Check that the purpose of the non-text content is clear, even if content is lost.
Expected Results
- #3 is true.</t>
  </si>
  <si>
    <t>https://www.w3.org/WAI/WCAG22/Techniques/general/G68</t>
  </si>
  <si>
    <t>G100</t>
  </si>
  <si>
    <t>Providing a short text alternative which is the accepted name or a descriptive name of the non-text content
Procedure
1. Check that short text alternative provides a descriptive name.
2. Check that short text alternative provides a name that has be previously been given to the non-text content by the author or another.
Expected Results
- #1 or #2 is true</t>
  </si>
  <si>
    <t>https://www.w3.org/WAI/WCAG22/Techniques/general/G100</t>
  </si>
  <si>
    <t>G143</t>
  </si>
  <si>
    <t>Providing a text alternative that describes the purpose of the CAPTCHA
Procedure
1. Remove, hide, or mask the CAPTCHA.
2. Replace it with the text alternative.
3. Check that the text alternative describes the purpose of the CAPTCHA.
Expected Results
- Check #3 is true.</t>
  </si>
  <si>
    <t>https://www.w3.org/WAI/WCAG22/Techniques/general/G143</t>
  </si>
  <si>
    <t>G144</t>
  </si>
  <si>
    <t>Ensuring that the web page contains another CAPTCHA serving the same purpose using a different modality
Procedure
For each CAPTCHA in a web page
1. Check that the web page contains another CAPTCHA for the same purpose but using a different modality.
Expected Results
- Check #1 is true.</t>
  </si>
  <si>
    <t>https://www.w3.org/WAI/WCAG22/Techniques/general/G144</t>
  </si>
  <si>
    <t>G196</t>
  </si>
  <si>
    <t>Using a text alternative on one item within a group of images that describes all items in the group
Procedure
1. Check that one item in the group includes a text alternative that serves the equivalent purpose for the entire group.
2. Check that the other items in the group are marked in a way that can be ignored by assistive technologies.
3. Check that the items marked in a way that can be ignored by assistive technologies are adjacent to the item that contains the text alternative for the group.
Expected Results
- All of the above checks are true.</t>
  </si>
  <si>
    <t>https://www.w3.org/WAI/WCAG22/Techniques/general/G196</t>
  </si>
  <si>
    <t>G73</t>
  </si>
  <si>
    <t>Providing a long description in another location with a link to it that is immediately adjacent to the non-text content
Procedure
1. check for the presence of a link immediately before or after the non-text content
2. check that the link is a valid link that points directly to the long description of this particular non-text content.
3. check that the long description conveys the same information as the non-text content
4. check for the availability of a link or back function to get the user back to the original location of the non-text content
Expected Results
All 4 of the above are true</t>
  </si>
  <si>
    <t>https://www.w3.org/WAI/WCAG22/Techniques/general/G73</t>
  </si>
  <si>
    <t>G74</t>
  </si>
  <si>
    <t>Providing a long description in text near the non-text content, with a reference to the location of the long description in the short description
Procedure
1. check that the short text alternative includes the location of the long description
2. Check that the long description is near the non-text content both visually and in the linear reading order
3. check that the long description conveys the same information as the non-text content
Expected Results
All 3 of the above are true</t>
  </si>
  <si>
    <t>https://www.w3.org/WAI/WCAG22/Techniques/general/G74</t>
  </si>
  <si>
    <t>G92</t>
  </si>
  <si>
    <t>Providing long description for non-text content that serves the same purpose and presents the same information
Procedure
1. Remove, hide, or mask the non-text content
2. Display the long description
3. Check that the long description conveys the same information conveyed by the non-text content.
Expected Results
- #3 is true.</t>
  </si>
  <si>
    <t>https://www.w3.org/WAI/WCAG22/Techniques/general/G92</t>
  </si>
  <si>
    <t>ARIA6</t>
  </si>
  <si>
    <t>Using aria-label to provide labels for objects
Procedure
For each element where a `aria-label` attribute is present.
1. Examine whether the text description accurately labels the object or provides a description of its purpose or provides equivalent information.
Expected Results
- #1 is true.</t>
  </si>
  <si>
    <t>https://www.w3.org/WAI/WCAG22/Techniques/aria/ARIA6</t>
  </si>
  <si>
    <t>ARIA9</t>
  </si>
  <si>
    <t>Using aria-labelledby to concatenate a label from several text nodes
Procedure
For inputs that use `aria-labelledby`:
1. Check that `id`s referenced in `aria-labelledby` are unique and match the `id`s of the text nodes that together provide the label
2. Check that the concatenated content of elements referenced by `aria-labelledby` is descriptive for the purpose or function of the element labeled
Expected Results
- #1 and #2 are true.
  If this is a sufficient technique for a success criterion, failing this test procedure does not necessarily mean that the success criterion has not been satisfied in some other way, only that this technique has not been successfully implemented and can not be used to claim conformance.</t>
  </si>
  <si>
    <t>https://www.w3.org/WAI/WCAG22/Techniques/aria/ARIA9</t>
  </si>
  <si>
    <t>ARIA10</t>
  </si>
  <si>
    <t>Using aria-labelledby to provide a text alternative for non-text content
Procedure
1. Examine each element where the `aria-labelledby` attribute is present and the element does not support the `alt` attribute.
2. Check whether the value of the `aria-labelledby` attribute is the `id` of an element on the web page.
3. Determine that the text of the element identified by the `aria-labelledby` attribute accurately labels the element, provides a description of its purpose, or provides equivalent information.
Expected Results
- #2 and #3 are true.</t>
  </si>
  <si>
    <t>https://www.w3.org/WAI/WCAG22/Techniques/aria/ARIA10</t>
  </si>
  <si>
    <t>ARIA15</t>
  </si>
  <si>
    <t>Using aria-describedby to provide descriptions of images
Procedure
1. Examine each image element where a `aria-describedby` attribute is present.
2. Examine whether the `aria-describedby` attribute programmatically associates an element with its text description, via the `id` attribute on the element where the text to be used as the description is found.
3. Examine whether the combined text equivalent and associated text description accurately describe or provide the equivalent purpose to the object.
Expected Results
- #1, #2, and #3 are true.</t>
  </si>
  <si>
    <t>https://www.w3.org/WAI/WCAG22/Techniques/aria/ARIA15</t>
  </si>
  <si>
    <t>H2</t>
  </si>
  <si>
    <t>Combining adjacent image and text links for the same resource
Procedure
For each `a` applying this technique:
1. Check that every `img` element contained within the `a` element has a null value set for its `alt` attribute.
2. Check that the `a` element contains an `img` element that has either a null `alt` attribute value or a value that supplements the link text and describes the image
Expected Results
- All checks above are true.</t>
  </si>
  <si>
    <t>https://www.w3.org/WAI/WCAG22/Techniques/html/H2</t>
  </si>
  <si>
    <t>H24</t>
  </si>
  <si>
    <t>Providing text alternatives for the area elements of image maps
Procedure
For each `area` element in an image map:
1. Check that the `area` element has an `alt` attribute.
2. Check that the text alternative specified by the `alt` attribute serves the same purpose as the part of image map image referenced by the `area` element of the image map.
Expected Results
- The above checks are true.</t>
  </si>
  <si>
    <t>https://www.w3.org/WAI/WCAG22/Techniques/html/H24</t>
  </si>
  <si>
    <t>H30</t>
  </si>
  <si>
    <t>Providing link text that describes the purpose of a link for anchor elements
Procedure
For each link in the content that uses this technique:
1. Check that text or a text alternative for non-text content is included in the `a` element.
2. If an `img` element is the only content of the `a` element, check that its text alternative describes the purpose of the link.
3. If the `a` element contains one or more `img` element(s) and the text alternative of the `img` element(s) is empty, check that the text of the link describes the purpose of the link.
4. If the `a` element only contains text, check that the text describes the purpose of the link.
Expected Results
- The above checks are true.</t>
  </si>
  <si>
    <t>https://www.w3.org/WAI/WCAG22/Techniques/html/H30</t>
  </si>
  <si>
    <t>H36</t>
  </si>
  <si>
    <t>Using alt attributes on images used as submit buttons
Procedure
1. For all `input` elements that have a type attribute value of `image`, check for the presence of an `alt` attribute.
2. Check that the value of the `alt` attribute describes the button's function.
Expected Results
- #1 and #2 are true</t>
  </si>
  <si>
    <t>https://www.w3.org/WAI/WCAG22/Techniques/html/H36</t>
  </si>
  <si>
    <t>H37</t>
  </si>
  <si>
    <t>Using alt attributes on img elements
Procedure
1. Examine each `img` element in the content.
2. Check that each `img` element which conveys meaning contains an `alt` attribute.
3. If the image contains words that are important to understanding the content, the words are included in the text alternative.
Expected Results
Checks #2 and #3 are true.</t>
  </si>
  <si>
    <t>https://www.w3.org/WAI/WCAG22/Techniques/html/H37</t>
  </si>
  <si>
    <t>H44</t>
  </si>
  <si>
    <t>Using label elements to associate text labels with form controls
Procedure
For all `input` elements of type `text`, `file` or `password`, for all `textarea` elements, and for all `select` elements in the web page:
1. Check that there is a `label` element that identifies the purpose of the control before the `input`, `textarea`, or `select` element
2. Check that the `for` attribute of the `label` element matches the `id` of the `input`, `textarea`, or `select` element.
3. Check that the `label` element is visible.
For all `input` elements of type checkbox or radio in the web page:
1. Check that there is a `label` element that identifies the purpose of the control after the `input` element.
2. Check that the `for` attribute of the `label` element matches the `id` of the `input` element.
3. Check that the `label` element is visible.
Expected Results
- Checks #1 and #2 are true.
- For Success Criterion 3.3.2 (Labels or Instructions), check #3 is also true.</t>
  </si>
  <si>
    <t>https://www.w3.org/WAI/WCAG22/Techniques/html/H44</t>
  </si>
  <si>
    <t>H53</t>
  </si>
  <si>
    <t>Using the body of the object element
Procedure
1. Check that the body of each `object` element contains a text alternative for the object.
Expected Results
- #1 is true.</t>
  </si>
  <si>
    <t>https://www.w3.org/WAI/WCAG22/Techniques/html/H53</t>
  </si>
  <si>
    <t>H65</t>
  </si>
  <si>
    <t>Using the title attribute to identify form controls when the label element cannot be used
Procedure
For all form controls that are not associated with a `label` element:
1. Check that the control has a `title` attribute
2. Check that the purpose of the form control is clear to users who can see the control.
3. Check that the `title` attribute identifies the purpose of the control and that it matches the apparent visual purpose.
Expected Results
- Checks above are true.</t>
  </si>
  <si>
    <t>https://www.w3.org/WAI/WCAG22/Techniques/html/H65</t>
  </si>
  <si>
    <t>H67</t>
  </si>
  <si>
    <t>Using null alt text and no title attribute on img elements for images that assistive technology should ignore
Procedure
For each image that should be ignored:
1. Check that `title` attribute is either absent or empty.
2. Check that `alt` attribute is present and empty.
Expected Results
- #1 and #2 are true</t>
  </si>
  <si>
    <t>https://www.w3.org/WAI/WCAG22/Techniques/html/H67</t>
  </si>
  <si>
    <t>H86</t>
  </si>
  <si>
    <t>Providing text alternatives for emojis, emoticons, ASCII art, and leetspeak
Procedure
1. Check to see that the content contains emojis, emoticons, ASCII art, or leetspeak.
2. Check that each emoji has a text alternative that serves an equivalent purpose.
3. Check that each ASCII artwork, emoticon, and / or Leetspeak either:
   1. is marked up as an image with a text alternative that serves an equivalent purpose; or
   2. has a text alternative immediately before or after.
Expected Results
- Checks #2 and #3 are true.</t>
  </si>
  <si>
    <t>https://www.w3.org/WAI/WCAG22/Techniques/html/H86</t>
  </si>
  <si>
    <t>C9</t>
  </si>
  <si>
    <t>Using CSS to include decorative images
Procedure
1. Check for the presence of decorative images
2. Check that they are included with CSS
Expected Results
- If #1 is true, then #2 is true.</t>
  </si>
  <si>
    <t>https://www.w3.org/WAI/WCAG22/Techniques/css/C9</t>
  </si>
  <si>
    <t>PDF1</t>
  </si>
  <si>
    <t>Applying text alternatives to images with the Alt entry in PDF documents
Procedure
For all images which need equivalents:
1. Verify the images have `/Alt` entries on an enclosing tag by one of the following:
   - Read the PDF document with a screen reader, listening to hear that the equivalent text is read when tabbing to the non-text object (if it is tabbable) or hearing the alternative text read when reading the content line-by-line.
   - Using a PDF editor, check that a text alternative is displayed for each image.
   - Use a tool which is capable of showing the `/Alt` entry value, such as aDesigner, to open the PDF document and view the GUI summary to read the text alternatives for images.
   - Use a tool that exposes the document through the accessibility API and verify that images have required text equivalents.
Expected Results
- Check #1 is true.</t>
  </si>
  <si>
    <t>https://www.w3.org/WAI/WCAG22/Techniques/pdf/PDF1</t>
  </si>
  <si>
    <t>PDF4</t>
  </si>
  <si>
    <t>Hiding decorative images with the Artifact tag in PDF documents
Procedure
1. For an image that is purely decorative, use one of the following to verify that it is marked as an artifact:
   - Read the PDF document with a screen reader, listening to hear that the decorative image is not announced when reading the content line-by-line.
   - Using a PDF editor, make sure the decorative image is marked as an artifact.
   - Reflow the document and make sure the decorative image does not appear on the page.
   - Use a tool that is capable of showing the /Artifact entry or property list, such as aDesigner, to open the PDF document and verify that decorative images are marked as artifacts.
   - Use a tool that exposes the document through the accessibility API and verify that the decorative image is not exposed through the API.
Expected Results
- #1 is true.</t>
  </si>
  <si>
    <t>https://www.w3.org/WAI/WCAG22/Techniques/pdf/PDF4</t>
  </si>
  <si>
    <t>F3</t>
  </si>
  <si>
    <t>Failure of Success Criterion 1.1.1 due to using CSS to include images that convey important information
Procedure
1. Examine all images added to the content via CSS, HTML style attributes, or dynamically in script as background images.
2. Check that the images do not convey important information.
3. If an image does convey important information, the information is provided to assistive technologies and is also available when the CSS image is not displayed.
Expected Results
- If checks #2 and #3 are both false, then this failure condition applies and the content fails this Success Criterion.</t>
  </si>
  <si>
    <t>https://www.w3.org/WAI/WCAG22/Techniques/failures/F3</t>
  </si>
  <si>
    <t>F13</t>
  </si>
  <si>
    <t>Failure of Success Criterion 1.1.1 and 1.4.1 due to having a text alternative that does not include information that is conveyed by color differences in the image
Procedure
For all images in the content that convey information by way of color differences:
1. Check that the information conveyed by color differences is not included in the text alternative for the image.
Expected Results
- If check #1 is true, then this failure condition applies and content fails the Success Criterion.</t>
  </si>
  <si>
    <t>https://www.w3.org/WAI/WCAG22/Techniques/failures/F13</t>
  </si>
  <si>
    <t>F20</t>
  </si>
  <si>
    <t>Failure of Success Criterion 1.1.1 and 4.1.2 due to not updating text alternatives when changes to non-text content occur
Procedure
1. Check each text alternative to see if it is describing content other than the currently-displayed non-text content.
Expected Results
- If check #1 is true then the text alternative is not up to date with current item, this failure condition applies, and content fails these Success Criteria.</t>
  </si>
  <si>
    <t>https://www.w3.org/WAI/WCAG22/Techniques/failures/F20</t>
  </si>
  <si>
    <t>F30</t>
  </si>
  <si>
    <t>Failure of Success Criterion 1.1.1 and 1.2.1 due to using text alternatives that are not alternatives (e.g., filenames or placeholder text)
Procedure
1. Check each text alternative to see if it is not actually a text alternative for the non-text content.
Expected Results
- If check #1 is true then this failure condition applies and content fails the Success Criterion.</t>
  </si>
  <si>
    <t>https://www.w3.org/WAI/WCAG22/Techniques/failures/F30</t>
  </si>
  <si>
    <t>F38</t>
  </si>
  <si>
    <t>Failure of Success Criterion 1.1.1 due to not marking up decorative images in HTML in a way that allows assistive technology to ignore them
Procedure
For any img element that is used for purely decorative content:
1. Check whether the element has no role attribute or has a role attribute value that is not presentation.
2. Check whether the element has no alt attribute or has an alt attribute with a value that is not null.
Expected Results
- If check #1 and #2 are true, this failure condition applies and content fails the Success Criterion.</t>
  </si>
  <si>
    <t>https://www.w3.org/WAI/WCAG22/Techniques/failures/F38</t>
  </si>
  <si>
    <t>F39</t>
  </si>
  <si>
    <t>Failure of Success Criterion 1.1.1 due to providing a text alternative that is not null (e.g., alt="spacer" or alt="image") for images that should be ignored by assistive technology
Procedure
1. Identify any img elements that are used for decoration, spacing or other purpose that is not part of the meaningful content in the page
2. Check that the alt attribute for these elements is null.
Expected Results
- If check #2 is false, this failure condition applies and the content fails the Success Criterion.</t>
  </si>
  <si>
    <t>https://www.w3.org/WAI/WCAG22/Techniques/failures/F39</t>
  </si>
  <si>
    <t>F65</t>
  </si>
  <si>
    <t>Failure of Success Criterion 1.1.1 due to omitting the alt attribute or text alternative on img elements, area elements, and input elements of type "image"
Procedure
Identify img, area, and input elements of type image. For each of these elements:
1. Check if the alt attribute is present.
2. Check if aria-labelledby attribute is present AND references one or more id attributes in the page AND check if aria-labelledby is accessibility supported.
3. Check if the aria-label attribute is present AND check if aria-label is accessibility supported.
4. Check if the title attribute is present AND check if title is accessibility supported.
Expected Results
- If all of #1, #2, #3 and #4 are false then this failure condition applies.</t>
  </si>
  <si>
    <t>https://www.w3.org/WAI/WCAG22/Techniques/failures/F65</t>
  </si>
  <si>
    <t>F67</t>
  </si>
  <si>
    <t>Failure of Success Criterion 1.1.1 and 1.2.1 due to providing long descriptions for non-text content that does not serve the same purpose or does not present the same information
Procedure
For all non-text content that requires a long description
1. Check that the long description serves the same purpose or presents the same information as the non-text content.
Expected Results
- If check #1 is false, then this failure condition applies and the content fails this Success Criterion.</t>
  </si>
  <si>
    <t>https://www.w3.org/WAI/WCAG22/Techniques/failures/F67</t>
  </si>
  <si>
    <t>F71</t>
  </si>
  <si>
    <t>Failure of Success Criterion 1.1.1 due to using text look-alikes to represent text without providing a text alternative
Procedure
1. Check the characters or character entities used to represent text.
2. If the characters used do not match the appropriate characters for the displayed glyphs in the human language of the content, then look-alike glyphs are being used.
Expected Results
- If look-alike glyphs are used, and there is not a text alternative for any range of text that uses look-alike glyphs, then the content does not meet the Success Criterion.</t>
  </si>
  <si>
    <t>https://www.w3.org/WAI/WCAG22/Techniques/failures/F71</t>
  </si>
  <si>
    <t>F72</t>
  </si>
  <si>
    <t>Failure of Success Criterion 1.1.1 due to using ASCII art without providing a text alternative
Procedure
1. Access a page with ASCII art.
2. For each instance of ASCII art, check that it has a text alternative.
Expected Results
- If check #2 is false, then this failure condition applies and the content fails this Success Criterion.</t>
  </si>
  <si>
    <t>https://www.w3.org/WAI/WCAG22/Techniques/failures/F72</t>
  </si>
  <si>
    <t>G158</t>
  </si>
  <si>
    <t>Time-based Media</t>
  </si>
  <si>
    <t>1.2</t>
  </si>
  <si>
    <t>1.2.1</t>
  </si>
  <si>
    <t>Audio-only and Video-only (Prerecorded)</t>
  </si>
  <si>
    <t>Providing an alternative for time-based media for audio-only content
Procedure
1. View the audio-only content while referring to the alternative for time-based media.
2. Check that the dialogue in the transcript matches the human language, dialogue, and information presented in the audio-only presentation.
3. If the audio includes multiple voices, check that the transcript identifies who is speaking for all dialogue.
Check that at least one of the following is true:
- The transcript itself can be programmatically determined from the text alternative for the audio-only content
- The transcript is referred to from the programmatically determined text alternative for the audio-only content
5. If the alternate version(s) are on a separate page, check for the availability of link(s) to allow the user to get to the other versions.
Expected Results
- All of the above checks are true.</t>
  </si>
  <si>
    <t>https://www.w3.org/WAI/WCAG22/quickref/?showtechniques=121#time-based-media</t>
  </si>
  <si>
    <t>https://www.w3.org/WAI/WCAG22/quickref/?showtechniques=121#audio-only-and-video-only-prerecorded</t>
  </si>
  <si>
    <t>https://www.w3.org/WAI/WCAG22/Techniques/general/G158</t>
  </si>
  <si>
    <t xml:space="preserve">For prerecorded audio-only and prerecorded video-only media, the following are true, except when the audio or video is a media alternative for text and is clearly labeled as such:
Prerecorded Audio-only
    An alternative for time-based media is provided that presents equivalent information for prerecorded audio-only content.
Prerecorded Video-only
    Either an alternative for time-based media or an audio track is provided that presents equivalent information for prerecorded video-only content.
</t>
  </si>
  <si>
    <t>G159</t>
  </si>
  <si>
    <t>Providing an alternative for time-based media for video-only content
Procedure
1. View the video-only content while referring to the alternative for time-based media.
2. Check that the information in the transcript includes the same information that is in the video-only presentation in the same human language as the page or video.
3. If the video includes multiple people or characters, check that the transcript identifies which person or character is associated with each action described.
Check that at least one of the following is true:
1. The transcript itself can be programmatically determined from the text alternative for the video-only content
2. The transcript is referred to from the programmatically determined text alternative for the video-only content
4. If the alternate version(s) are on a separate page, check for the availability of link(s) to allow the user to get to the other versions.
Expected Results
- All of the above checks are true.</t>
  </si>
  <si>
    <t>https://www.w3.org/WAI/WCAG22/Techniques/general/G159</t>
  </si>
  <si>
    <t>G166</t>
  </si>
  <si>
    <t>Providing audio that describes the important video content and describing it as such
Procedure
For a web page that contains video-only content:
1. Check that there is link to an audio alternative, which describes the contents of the video in the human language of the page, immediately before or after the video-only content.
Expected Results
- Check #1 is true.</t>
  </si>
  <si>
    <t>https://www.w3.org/WAI/WCAG22/Techniques/general/G166</t>
  </si>
  <si>
    <t>G93</t>
  </si>
  <si>
    <t>1.2.2</t>
  </si>
  <si>
    <t>Captions (Prerecorded)</t>
  </si>
  <si>
    <t>Providing open (always visible) captions
Procedure
1. Watch the synchronized media with closed captioning turned off.
2. Check that captions (of all dialogue and important sounds) are visible.
Expected Results
- #2 is true</t>
  </si>
  <si>
    <t>https://www.w3.org/WAI/WCAG22/quickref/?showtechniques=121#captions-prerecorded</t>
  </si>
  <si>
    <t>https://www.w3.org/WAI/WCAG22/Techniques/general/G93</t>
  </si>
  <si>
    <t>Captions are provided for all prerecorded audio content in synchronized media, except when the media is a media alternative for text and is clearly labeled as such.</t>
  </si>
  <si>
    <t>G87</t>
  </si>
  <si>
    <t>Providing closed captions
Procedure
1. Turn on the closed caption feature of the media player
2. View the synchronized media content
3. Check that captions (of all dialogue and important sounds) are visible and in the human language of the video
Expected Results
- #3 is true</t>
  </si>
  <si>
    <t>https://www.w3.org/WAI/WCAG22/Techniques/general/G87</t>
  </si>
  <si>
    <t>SM11</t>
  </si>
  <si>
    <t>Providing captions through synchronized text streams in SMIL 1.0
Procedure
1. Enabled caption preference in player, if present
2. Play file with captions
3. Check whether captions are displayed
Expected Results
- #3 is true</t>
  </si>
  <si>
    <t>https://www.w3.org/WAI/WCAG22/Techniques/smil/SM11</t>
  </si>
  <si>
    <t>SM12</t>
  </si>
  <si>
    <t>Providing captions through synchronized text streams in SMIL 2.0
Procedure
1. Enabled caption preference in player, if present
2. Play file with captions
3. Check whether captions are displayed
Expected Results
- #3 is true</t>
  </si>
  <si>
    <t>https://www.w3.org/WAI/WCAG22/Techniques/smil/SM12</t>
  </si>
  <si>
    <t>H95</t>
  </si>
  <si>
    <t>Using the track element to provide captions
Procedure
For each video element used to play a video:
1. Check that the video contains a track element of kind captions in the language of the video.
Expected Results
- Check #1 is true.</t>
  </si>
  <si>
    <t>https://www.w3.org/WAI/WCAG22/Techniques/html/H95</t>
  </si>
  <si>
    <t>F8</t>
  </si>
  <si>
    <t>Failure of Success Criterion 1.2.2 due to captions omitting some dialogue or important sound effects
Procedure
1. View the material with captioning turned on.
2. Check that all dialogue is accompanied by a caption.
3. Check that all important sounds are captioned.
Expected Results
- If check #2 and check #3 are false, then this failure condition applies and the content fails the Success Criterion.</t>
  </si>
  <si>
    <t>https://www.w3.org/WAI/WCAG22/Techniques/failures/F8</t>
  </si>
  <si>
    <t>F75</t>
  </si>
  <si>
    <t>Failure of Success Criterion 1.2.2 by providing synchronized media without captions when the synchronized media presents more information than is presented on the page
Procedure
1. Check for captions on synchronized media alternatives.
2. Check that the synchronized media alternative does not provide more information than is presented on the page in text.
   Note: Synchronized media alternatives often use different words to present what is on the page but it should not present new information on the topic of the page.
Expected Results
- If check #2 is false, then this failure condition applies and the content fails these Success Criteria.</t>
  </si>
  <si>
    <t>https://www.w3.org/WAI/WCAG22/Techniques/failures/F75</t>
  </si>
  <si>
    <t>F74</t>
  </si>
  <si>
    <t>Failure of Success Criterion 1.2.2 and 1.2.8 due to not labeling a synchronized media alternative to text as an alternative
Procedure
1. Check pages that provide synchronized media alternatives to text.
2. Check that synchronized media is clearly labeled with the text for which it is an alternative.
Expected Results
- If check #2 is false, then this failure condition applies and the content fails these Success Criteria.</t>
  </si>
  <si>
    <t>https://www.w3.org/WAI/WCAG22/Techniques/failures/F74</t>
  </si>
  <si>
    <t>G69</t>
  </si>
  <si>
    <t>1.2.3</t>
  </si>
  <si>
    <t>Audio Description or Media Alternative (Prerecorded)</t>
  </si>
  <si>
    <t>Providing an alternative for time based media
Procedure
1. View the synchronized media presentation while referring to the alternative for time-based media.
2. Check that the dialogue in the alternative for time-based media matches the dialogue in the synchronized media presentation.
3. Check that the alternative for time-based media has descriptions of sounds.
4. Check that the alternative for time-based media has descriptions of setting and setting changes.
5. Check that the alternative for time-based media has descriptions of actions and expressions of any 'actors' (people, animals etc).
6. If the alternate version(s) are on a separate page, check for the availability of link(s) to allow the user to get to the other versions.
Expected Results
- #2, 3, 4, 5 are true.</t>
  </si>
  <si>
    <t>https://www.w3.org/WAI/WCAG22/quickref/?showtechniques=121#audio-description-or-media-alternative-prerecorded</t>
  </si>
  <si>
    <t>https://www.w3.org/WAI/WCAG22/Techniques/general/G69</t>
  </si>
  <si>
    <t>An alternative for time-based media or audio description of the prerecorded video content is provided for synchronized media, except when the media is a media alternative for text and is clearly labeled as such.</t>
  </si>
  <si>
    <t>G58</t>
  </si>
  <si>
    <t>Placing a link to the alternative for time-based media immediately next to the non-text content
Procedure
1. Check for the presence of a link immediately before or after the non-text content.
2. Check that it is a valid link that points directly to the collated document of this particular synchronized media.
3. Check for the availability of a link or back function to get the user back to the original location of the synchronized media content.
Expected Results
- Items #1 through 3 are all true.</t>
  </si>
  <si>
    <t>https://www.w3.org/WAI/WCAG22/Techniques/general/G58</t>
  </si>
  <si>
    <t>G78</t>
  </si>
  <si>
    <t>Providing a second, user-selectable, audio track that includes audio descriptions
Procedure
1. Check that the ability exists to turn on the audio track that includes audio descriptions. For example, by using a control within the content itself or by selecting a control or preference in the media player or operating system.
2. Listen to the synchronized media
3. Check to see if gaps in dialogue are used to convey important information regarding visual content
Expected Results
- Checks #1 and #3 are true.</t>
  </si>
  <si>
    <t>https://www.w3.org/WAI/WCAG22/Techniques/general/G78</t>
  </si>
  <si>
    <t>G173</t>
  </si>
  <si>
    <t>Providing a version of a movie with audio descriptions
Procedure
1. Open the version of the media that includes audio description.
2. Listen to the movie.
3. Check to see if gaps in dialogue are used to convey important information regarding visual content.
4. If the alternate version(s) are on a separate page, check for the availability of link(s) to allow the user to get to the other versions.
Expected Results
- #3 and #4 are true.</t>
  </si>
  <si>
    <t>https://www.w3.org/WAI/WCAG22/Techniques/general/G173</t>
  </si>
  <si>
    <t>SM6</t>
  </si>
  <si>
    <t>Providing audio description in SMIL 1.0
Procedure
1. Find method for turning on audio description from content/player (unless it is always played by default)
2. Play file with audio description
3. Check whether audio description is played
Expected Results
- #3 is true</t>
  </si>
  <si>
    <t>https://www.w3.org/WAI/WCAG22/Techniques/smil/SM6</t>
  </si>
  <si>
    <t>SM7</t>
  </si>
  <si>
    <t>Providing audio description in SMIL 2.0
Procedure
1. Find method for turning on audio description from content/player (unless it is always played by default)
2. Play file with audio description
3. Check whether audio description is played
Expected Results
- #3 is true</t>
  </si>
  <si>
    <t>https://www.w3.org/WAI/WCAG22/Techniques/smil/SM7</t>
  </si>
  <si>
    <t>G226</t>
  </si>
  <si>
    <t>Providing audio descriptions by incorporating narration in the soundtrack
Procedure
1. Open the synchronized media that includes audio description.
2. Review the video.
3. Check to see if the main narration is used to convey important information in the visual content, such as new speakers and on-screen text.
4. Where important visual information is not conveyed through the soundtrack or addressed in the original narration, check to see if additional narration has been added in available gaps in the dialog.
Expected Results
- #3 and #4 are true.</t>
  </si>
  <si>
    <t>https://www.w3.org/WAI/WCAG22/Techniques/general/G226</t>
  </si>
  <si>
    <t>G8</t>
  </si>
  <si>
    <t>Providing a movie with extended audio descriptions
Procedure
1. Open the version of the movie that includes extended audio descriptions.
2. Check that the video halts for extended audio description when there is not enough space to include necessary narration between the natural dialogue.
3. Check that the necessary information is in the audio description.
4. If the alternate version(s) are on a separate page, check for the availability of link(s) to allow the user to get to the other versions.
Expected Results
- Checks #2, #3 and #4 are true.</t>
  </si>
  <si>
    <t>https://www.w3.org/WAI/WCAG22/Techniques/general/G8</t>
  </si>
  <si>
    <t>SM1</t>
  </si>
  <si>
    <t>Adding extended audio description in SMIL 1.0
Procedure
1. Play file with extended audio descriptions
2. Play file with audio description
3. Check whether video freezes in places and plays extended audio description
Expected Results
- #3 is true</t>
  </si>
  <si>
    <t>https://www.w3.org/WAI/WCAG22/Techniques/smil/SM1</t>
  </si>
  <si>
    <t>SM2</t>
  </si>
  <si>
    <t>Adding extended audio description in SMIL 2.0
Procedure
1. Play file with extended audio description
2. Check whether video freezes in places and plays extended audio description
Expected Results
- #2 is true</t>
  </si>
  <si>
    <t>https://www.w3.org/WAI/WCAG22/Techniques/smil/SM2</t>
  </si>
  <si>
    <t>G203</t>
  </si>
  <si>
    <t>Using a static text alternative to describe a talking head video
Procedure
1. Check that there is no important time-based information in the video track
2. Check that the programmatically associated description of the media contains any context of the content that is not contained in the audio track (e.g. speaker identification, credits, context)
Expected Results
- All checks are true.</t>
  </si>
  <si>
    <t>https://www.w3.org/WAI/WCAG22/Techniques/general/G203</t>
  </si>
  <si>
    <t>G9</t>
  </si>
  <si>
    <t>1.2.4</t>
  </si>
  <si>
    <t>Captions (Live)</t>
  </si>
  <si>
    <t>Creating captions for live synchronized media
Procedure
1. Check that a procedure and policy are in place to ensure that captions are delivered in real-time.
Expected Results
- Check #1 is true.</t>
  </si>
  <si>
    <t>https://www.w3.org/WAI/WCAG22/quickref/?showtechniques=121#captions-live</t>
  </si>
  <si>
    <t>https://www.w3.org/WAI/WCAG22/Techniques/general/G9</t>
  </si>
  <si>
    <t>Captions are provided for all live audio content in synchronized media.</t>
  </si>
  <si>
    <t>1.2.5</t>
  </si>
  <si>
    <t>Audio Description (Prerecorded)</t>
  </si>
  <si>
    <t>https://www.w3.org/WAI/WCAG22/quickref/?showtechniques=121#audio-description-prerecorded</t>
  </si>
  <si>
    <t>Audio description is provided for all prerecorded video content in synchronized media.</t>
  </si>
  <si>
    <t>F113</t>
  </si>
  <si>
    <t>Failure of Success Criterion 1.2.5 due to not using available pauses in dialogue to provide audio descriptions of important visual content
Procedure
For each occurrence of synchronized media containing audio and video where all important visual information cannot be understood from the main soundtrack alone:
1. Check that all missing important visual information has been conveyed in audio descriptions.
2. Check that there are no remaining pauses in dialog where it is appropriate to add audio descriptions.
Expected Results
- If Checks 1 and 2 are false, then this failure condition applies and the content fails the success criterion.</t>
  </si>
  <si>
    <t>https://www.w3.org/WAI/WCAG22/Techniques/failures/F113</t>
  </si>
  <si>
    <t>ARIA11</t>
  </si>
  <si>
    <t>Adaptable</t>
  </si>
  <si>
    <t>1.3</t>
  </si>
  <si>
    <t>1.3.1</t>
  </si>
  <si>
    <t>Info and Relationships</t>
  </si>
  <si>
    <t>Using ARIA landmarks to identify regions of a page
Procedure
1. Identify the major regions of the web page.
2. Check that each major region has an appropriate ARIA landmark role.
3. Check that the landmarks are correctly labeled.</t>
  </si>
  <si>
    <t>https://www.w3.org/WAI/WCAG22/quickref/?showtechniques=121#adaptable</t>
  </si>
  <si>
    <t>https://www.w3.org/WAI/WCAG22/quickref/?showtechniques=121#info-and-relationships</t>
  </si>
  <si>
    <t>https://www.w3.org/WAI/WCAG22/Techniques/aria/ARIA11</t>
  </si>
  <si>
    <t>Information, structure, and relationships conveyed through presentation can be programmatically determined or are available in text.</t>
  </si>
  <si>
    <t>H101</t>
  </si>
  <si>
    <t>Using semantic HTML elements to identify regions of a page
Procedure
1. Examine each HTML element that creates a landmark role.
2. Examine whether the correct element has been used to mark up content. For example: a `nav` element has been used to mark up a section with navigation links, or the `main` element is used to contain the page's main content.
3. If a landmark region needs to have an accessible name to be exposed as a landmark, check to see that there is an accessible name.</t>
  </si>
  <si>
    <t>https://www.w3.org/WAI/WCAG22/Techniques/html/H101</t>
  </si>
  <si>
    <t>ARIA12</t>
  </si>
  <si>
    <t>Using role=heading to identify headings
Procedure
1. Examine each element with the attribute `role="heading"`.
2. Determine whether the content of the element is appropriate as a heading.
3. Determine whether the `aria-level` value is the appropriate hierarchical level.</t>
  </si>
  <si>
    <t>https://www.w3.org/WAI/WCAG22/Techniques/aria/ARIA12</t>
  </si>
  <si>
    <t>ARIA13</t>
  </si>
  <si>
    <t>Using aria-labelledby to name regions and landmarks
Procedure
1. Examine each element with attribute role=region or with a landmark role, where an aria-labelledby attribute is also present.
2. Check that the value of the aria-labelledby attribute is the id of an element on the page.
3. Check that the text of the element with that id accurately labels the section of the page.</t>
  </si>
  <si>
    <t>https://www.w3.org/WAI/WCAG22/Techniques/aria/ARIA13</t>
  </si>
  <si>
    <t>ARIA16</t>
  </si>
  <si>
    <t>Using aria-labelledby to provide a name for user interface controls
Procedure
For each user interface control element where an `aria-labelledby` attribute is present:
1. Check that the value of the `aria-labelledby` attribute is the `id` of an element or a space separated list of `id`s on the web page.
2. Check that the text of the referenced element or elements accurately labels the user interface control.</t>
  </si>
  <si>
    <t>https://www.w3.org/WAI/WCAG22/Techniques/aria/ARIA16</t>
  </si>
  <si>
    <t>ARIA17</t>
  </si>
  <si>
    <t>Using grouping roles to identify related form controls
Procedure
For groups of related controls where the individual labels for each control do not provide a sufficient description, and an additional group level description is needed:
1. Check that the group of logically related input or select elements are contained within an element with role=group, or role=radiogroup depending on the type of elements the group contains.
2. Check that this group has an accessible name defined using aria-label or aria-labelledby.</t>
  </si>
  <si>
    <t>https://www.w3.org/WAI/WCAG22/Techniques/aria/ARIA17</t>
  </si>
  <si>
    <t>ARIA20</t>
  </si>
  <si>
    <t>Using the region role to identify a region of the page
Procedure
For each section marked up with `role="region"`:
1. Examine the content and ensure that it is important enough to have an independent landmark
2. Ensure that a standard landmark role is not appropriate for this content
3. Check that the region has a programmatically determined name</t>
  </si>
  <si>
    <t>https://www.w3.org/WAI/WCAG22/Techniques/aria/ARIA20</t>
  </si>
  <si>
    <t>G115</t>
  </si>
  <si>
    <t>Using semantic elements to mark up structure
Procedure
1. Check if there are parts of the content that have a semantic function.
2. For each part that has a semantic function, if corresponding semantic markup exists in the technology, check that the content has been marked up using that semantic markup.</t>
  </si>
  <si>
    <t>https://www.w3.org/WAI/WCAG22/Techniques/general/G115</t>
  </si>
  <si>
    <t>H49</t>
  </si>
  <si>
    <t>Using semantic markup to mark emphasized or special text
Procedure
1. Examine the content for information that is conveyed through variations in presentation of text.
2. Check that appropriate semantic markup (such as `em`, `strong`, `cite`, `blockquote`, `sub`, and `sup`) have been used to mark the text that conveys information through variations in text.</t>
  </si>
  <si>
    <t>https://www.w3.org/WAI/WCAG22/Techniques/html/H49</t>
  </si>
  <si>
    <t>G117</t>
  </si>
  <si>
    <t>Using text to convey information that is conveyed by variations in presentation of text
Procedure
1. Find items where variations in presentation of text are used to convey information.
2. For those items, check to determine if information conveyed visually is also stated explicitly in text.</t>
  </si>
  <si>
    <t>https://www.w3.org/WAI/WCAG22/Techniques/general/G117</t>
  </si>
  <si>
    <t>G140</t>
  </si>
  <si>
    <t>Separating information and structure from presentation to enable different presentations
Procedure
1. Examine the encoding of a document.
2. Check that structural information and functionality are explicitly provided and is logically separated from presentational information.</t>
  </si>
  <si>
    <t>https://www.w3.org/WAI/WCAG22/Techniques/general/G140</t>
  </si>
  <si>
    <t>ARIA24</t>
  </si>
  <si>
    <t>Semantically identifying a font icon with role="img"
Procedure
For each font icon check that:
1. The element providing the font icon has `role="img"`.</t>
  </si>
  <si>
    <t>https://www.w3.org/WAI/WCAG22/Techniques/aria/ARIA24</t>
  </si>
  <si>
    <t>G138</t>
  </si>
  <si>
    <t>Using semantic markup whenever color cues are used
Procedure
For any content where color differences are used to convey information:
1. Check that the same information is available through semantic markup.</t>
  </si>
  <si>
    <t>https://www.w3.org/WAI/WCAG22/Techniques/general/G138</t>
  </si>
  <si>
    <t>H51</t>
  </si>
  <si>
    <t>Using table markup to present tabular information
Procedure
1. Check for the presence of tabular information.
2. For each occurrence of tabular information:
  1. Check that table markup with at least the elements `table`, `tr`, `th`, and `td` is used.</t>
  </si>
  <si>
    <t>https://www.w3.org/WAI/WCAG22/Techniques/html/H51</t>
  </si>
  <si>
    <t>PDF6</t>
  </si>
  <si>
    <t>Using table elements for table markup in PDF Documents
Procedure
1. For each table, confirm one of the following:
  - Read the PDF document with a screen reader, listening to hear that the tabular information is presented in a way that preserves logical relationships among the table header and data cells.
  - Using a PDF editor, verify that the appropriate `TR`, `TH`, and `TD` tags are in the proper reading order and hierarchy in the table tree.
  - Use a tool which is capable of showing the table elements to open the PDF document, view the table structure, and verify that it contains the appropriate TR, TH, and TD structures.
  - Use a tool that exposes the document through the accessibility API, and verify that the table structure contains the appropriate `TR`, `TH`, and `TD` structures, and that they are in the proper reading order and hierarchy.</t>
  </si>
  <si>
    <t>https://www.w3.org/WAI/WCAG22/Techniques/pdf/PDF6</t>
  </si>
  <si>
    <t>PDF20</t>
  </si>
  <si>
    <t>Using Adobe Acrobat Pro's Table Editor to repair mistagged tables
Procedure
1. For a table that has been repaired with the Table Editor, confirm one of the following:
  - Read the PDF document with a screen reader, listening to hear that the tabular information is presented in a way that preserves logical relationships among the table header and data cells. (Configure the screen reader to not use heuristics to read table header cells.)
  - Using a PDF editor, verify that the appropriate TR, TH, and TD tags are in the proper reading order and hierarchy in the table tree.
  - Use a tool which is capable of showing the table elements to open the PDF document, view the table structure, and verify that it contains the appropriate TR, TH, and TD structures.
  - Use a tool that exposes the document through the accessibility API, and verify that the table structure contains the appropriate TR, TH, and TD structures, and that they are in the proper reading order and hierarchy.</t>
  </si>
  <si>
    <t>https://www.w3.org/WAI/WCAG22/Techniques/pdf/PDF20</t>
  </si>
  <si>
    <t>H39</t>
  </si>
  <si>
    <t>Using caption elements to associate data table captions with data tables
Procedure
For each data table:
1. Check that the table includes a `caption` element.
2. Check that the text that titles or describes the table is included in the `caption` element.</t>
  </si>
  <si>
    <t>https://www.w3.org/WAI/WCAG22/Techniques/html/H39</t>
  </si>
  <si>
    <t>H63</t>
  </si>
  <si>
    <t>Using the scope attribute to associate header cells with data cells in data tables
Procedure
For each data table:
1. Check that all `th` elements have a `scope` attribute.
2. Check that all `scope` attributes have the value `row`, `col`, `rowgroup`, or `colgroup`.</t>
  </si>
  <si>
    <t>https://www.w3.org/WAI/WCAG22/Techniques/html/H63</t>
  </si>
  <si>
    <t>H43</t>
  </si>
  <si>
    <t>Using id and headers attributes to associate data cells with header cells in data tables
Procedure
1. Check for layout tables: determine whether the content has a relationship with other content in both its column and its row. If "no", the table is a layout table. If "yes", the table is a data table.
2. For data tables, check that any cell that is associated with more than one row and/or one column header contains a `headers` attribute that lists the `id` for all headers associated with that cell.
3. For data tables where any cell contains an `id` or `headers` attribute:
  1. Check that each `id` listed in the `headers` attribute of the data cell matches the `id` attribute of a cell that is used as a header element.
  2. Check that the `headers` attribute of a data cell contains the `id` attribute of all headers associated with the data cell.
  3. Check that all `id`s are unique (that is, no two elements in the page have the same `id`).</t>
  </si>
  <si>
    <t>https://www.w3.org/WAI/WCAG22/Techniques/html/H43</t>
  </si>
  <si>
    <t>Using label elements to associate text labels with form controls
Procedure
For all `input` elements of type `text`, `file` or `password`, for all `textarea` elements, and for all `select` elements in the web page:
1. Check that there is a `label` element that identifies the purpose of the control before the `input`, `textarea`, or `select` element
2. Check that the `for` attribute of the `label` element matches the `id` of the `input`, `textarea`, or `select` element.
3. Check that the `label` element is visible.
For all `input` elements of type checkbox or radio in the web page:
1. Check that there is a `label` element that identifies the purpose of the control after the `input` element.
2. Check that the `for` attribute of the `label` element matches the `id` of the `input` element.
3. Check that the `label` element is visible.</t>
  </si>
  <si>
    <t>Using the title attribute to identify form controls when the label element cannot be used
Procedure
For all form controls that are not associated with a `label` element:
1. Check that the control has a `title` attribute
2. Check that the purpose of the form control is clear to users who can see the control.
3. Check that the `title` attribute identifies the purpose of the control and that it matches the apparent visual purpose.</t>
  </si>
  <si>
    <t>PDF10</t>
  </si>
  <si>
    <t>Providing labels for interactive form controls in PDF documents
Procedure
1. For each form control, verify visually that the label is positioned correctly in relation to the control.
2. For each form control, verify that the name is programmatically associated with the control by one of the following:
   * Open the PDF document with a tool that is capable of showing the name associated with the control and verify that the name is associated correctly with the control.
   * Use a tool that exposes the document through the accessibility API, and verify that the name is associated correctly with the control.</t>
  </si>
  <si>
    <t>https://www.w3.org/WAI/WCAG22/Techniques/pdf/PDF10</t>
  </si>
  <si>
    <t>PDF12</t>
  </si>
  <si>
    <t>Providing name, role, value information for form fields in PDF documents
Procedure
1. For the form control, verify that name, role, and value/state are specified by one of the following:
   * Use a screen reader to navigate to the form control and check that it can be activated or that its value can be changed. Verify that the name (tooltip) and role are announced.
   * Use a tool capable of showing the form field information to open the PDF document and verify that the form control has the correct name, role, value, and state (if appropriate) information.
   * Use a tool that exposes the document through the accessibility API, and verify that the form control has the correct name, role, value, and state (if appropriate) information.</t>
  </si>
  <si>
    <t>https://www.w3.org/WAI/WCAG22/Techniques/pdf/PDF12</t>
  </si>
  <si>
    <t>H71</t>
  </si>
  <si>
    <t>Providing a description for groups of form controls using fieldset and legend elements
Procedure
For groups of related controls where the individual labels for each control do not provide a sufficient description, and an additional group level description is needed:
1. Check that the group of logically related input or select elements are contained within fieldset elements.
2. Check that each fieldset has a legend element that is the first child in the fieldset and includes a description for that group.</t>
  </si>
  <si>
    <t>https://www.w3.org/WAI/WCAG22/Techniques/html/H71</t>
  </si>
  <si>
    <t>H85</t>
  </si>
  <si>
    <t>Using optgroup to group option elements inside a select
Procedure
1. Check the set of options within a selection list to see if there are groups of related options.
2. If there are groups of related options, they should be grouped with `optgroup`.</t>
  </si>
  <si>
    <t>https://www.w3.org/WAI/WCAG22/Techniques/html/H85</t>
  </si>
  <si>
    <t>H48</t>
  </si>
  <si>
    <t>Using ol, ul and dl for lists or groups of links
Procedure
1. Check that content that has the visual appearance of a list (with or without bullets) is marked as an unordered list.
2. Check that content that has the visual appearance of a numbered list is marked as an ordered list.
3. Check that content is marked as a description list when groups of name-value pairs, for example: terms and definitions or questions and answers, are presented in the form of a list.</t>
  </si>
  <si>
    <t>https://www.w3.org/WAI/WCAG22/Techniques/html/H48</t>
  </si>
  <si>
    <t>H42</t>
  </si>
  <si>
    <t>Using h1-h6 to identify headings
Procedure
1. Check that heading markup is used when content is a heading and the heading markup indicates the appropriate heading level for the content.
2. Check that heading markup is not used when content is not a heading.</t>
  </si>
  <si>
    <t>https://www.w3.org/WAI/WCAG22/Techniques/html/H42</t>
  </si>
  <si>
    <t>PDF9</t>
  </si>
  <si>
    <t>Providing headings by marking content with heading tags in PDF documents
Procedure
1. Open the PDF document in Adobe Acrobat Pro.
2. Check that headings in the document are marked with appropriate heading tags (H1-H6).
3. Check that the heading levels reflect the hierarchical structure of the document.</t>
  </si>
  <si>
    <t>https://www.w3.org/WAI/WCAG22/Techniques/pdf/PDF9</t>
  </si>
  <si>
    <t>PDF11</t>
  </si>
  <si>
    <t>Providing links and link text using the Link annotation and the /Link structure element in PDF documents
Procedure
1. Open the PDF document in Adobe Acrobat Pro.
2. Use the keyboard (Tab key) to navigate the document and identify links.
3. Activate each link using the Enter key.
4. Check that each link is identified by its Link annotation and /Link structure element.
5. Check that the link text identifies the purpose of the link.</t>
  </si>
  <si>
    <t>https://www.w3.org/WAI/WCAG22/Techniques/pdf/PDF11</t>
  </si>
  <si>
    <t>PDF17</t>
  </si>
  <si>
    <t>Specifying consistent page numbering for PDF documents
Procedure
1. For every section in the document that uses a different pagination format, check that the page navigation feature uses the same format used on the document pages:
  - Select the pages that begin a new pagination format and visually verify that the same format and page number is shown in the page navigation feature.
  - Using a screen reader, check that the page number announced in the page navigation feature is the same as the page number announced on the document page.
  - Using a tool that is capable of showing the /PageLabels entries, open the PDF document and view the entries.
  - Use a tool that exposes the document through the accessibility API, and verify that the /PageLabels entries are specified correctly.</t>
  </si>
  <si>
    <t>https://www.w3.org/WAI/WCAG22/Techniques/pdf/PDF17</t>
  </si>
  <si>
    <t>PDF21</t>
  </si>
  <si>
    <t>Using List tags for lists in PDF documents
Procedure
1. For a list in a PDF document, verify in one of the following ways:
  - Read the PDF document with a screen reader, listening to hear that list is read correctly when reading the content line-by-line.
  - Use a tool that is capable of showing lists to open the PDF document and view the list to check that it is correctly structured.
  - Inspect the tag tree to verify that the list is structured according to the PDF specification.
  - Use a tool that exposes the document through the accessibility API and verify that the list is correctly structured.</t>
  </si>
  <si>
    <t>https://www.w3.org/WAI/WCAG22/Techniques/pdf/PDF21</t>
  </si>
  <si>
    <t>H97</t>
  </si>
  <si>
    <t>Grouping related links using the nav element
Procedure
1. Check that links that are visually grouped and represent a section of the page are enclosed in a `nav` element.</t>
  </si>
  <si>
    <t>https://www.w3.org/WAI/WCAG22/Techniques/html/H97</t>
  </si>
  <si>
    <t>T1</t>
  </si>
  <si>
    <t>Using standard text formatting conventions for paragraphs
Procedure
For each paragraph:
1. Check that the paragraph is preceded by exactly one blank line, or that the paragraph is the first content in the web page
2. Check that the paragraph is followed by at least one blank line, or that the paragraph is the last content in the web page.
3. Check that no paragraph contains any blank lines</t>
  </si>
  <si>
    <t>https://www.w3.org/WAI/WCAG22/Techniques/text/T1</t>
  </si>
  <si>
    <t>T2</t>
  </si>
  <si>
    <t>Using standard text formatting conventions for lists
Procedure
For each list in the text content
1. Check that each list item is a paragraph that starts with a label
2. Check that the list contains no lines that are not list items
3. Check that all list items in a list use the same style label
4. Check that the labels in ordered lists are in sequential order
5. Check that the labels in each unordered list are the same</t>
  </si>
  <si>
    <t>https://www.w3.org/WAI/WCAG22/Techniques/text/T2</t>
  </si>
  <si>
    <t>T3</t>
  </si>
  <si>
    <t>Using standard text formatting conventions for headings
Procedure
For each heading in the content:
1. Check that each heading is preceded by two blank lines
2. Check that each heading is followed by a blank line
3. Check that no heading contains any blank lines</t>
  </si>
  <si>
    <t>https://www.w3.org/WAI/WCAG22/Techniques/text/T3</t>
  </si>
  <si>
    <t>F2</t>
  </si>
  <si>
    <t>Failure of Success Criterion 1.3.1 due to using changes in text presentation to convey information without using the appropriate markup or text
Procedure
1. For images of text:
  1. Check if any images of text are used to convey structural information of the document.
  2. Check that the proper semantic structure (e.g., HTML headings) is used with the text to convey the information.
2. For styled text that conveys information:
  1. Check if there is any styled text that conveys structural information.
  2. Check that in addition to styling, the proper semantic structure is used with the text to convey the information.</t>
  </si>
  <si>
    <t>https://www.w3.org/WAI/WCAG22/Techniques/failures/F2</t>
  </si>
  <si>
    <t>F33</t>
  </si>
  <si>
    <t>Failure of Success Criterion 1.3.1 and 1.3.2 due to using white space characters to create multiple columns in plain text content
Procedure
1. Examine the document for data or information presented in columnar format.
2. Check whether the columns are created using white space characters to lay out the information.</t>
  </si>
  <si>
    <t>https://www.w3.org/WAI/WCAG22/Techniques/failures/F33</t>
  </si>
  <si>
    <t>F34</t>
  </si>
  <si>
    <t>Failure of Success Criterion 1.3.1 and 1.3.2 due to using white space characters to format tables in plain text content
Procedure
1. Examine the document for visually formatted tables.
2. Check whether the tables are created using white space characters to layout the tabular data.</t>
  </si>
  <si>
    <t>https://www.w3.org/WAI/WCAG22/Techniques/failures/F34</t>
  </si>
  <si>
    <t>F42</t>
  </si>
  <si>
    <t>Failure of Success Criteria 1.3.1, 2.1.1, 2.1.3, or 4.1.2 when emulating links
Procedure
For all elements presented as links which use JavaScript event handlers to make the element emulate a link:
1. Check if the programmatically determined role of the element is "link".
2. Check if the emulated link can be activated using the keyboard.</t>
  </si>
  <si>
    <t>https://www.w3.org/WAI/WCAG22/Techniques/failures/F42</t>
  </si>
  <si>
    <t>F43</t>
  </si>
  <si>
    <t>Failure of Success Criterion 1.3.1 due to using structural markup in a way that does not represent relationships in the content
Procedure
1. Check that the element's semantic meaning is exposed to assistive technology and appropriate for the content of the element.</t>
  </si>
  <si>
    <t>https://www.w3.org/WAI/WCAG22/Techniques/failures/F43</t>
  </si>
  <si>
    <t>F46</t>
  </si>
  <si>
    <t>Failure of Success Criterion 1.3.1 due to using th elements, caption elements, or non-empty summary attributes in layout tables
Procedure
1. Examine the source code of the HTML or XHTML document for the table element
2. If the table is used only to visually lay out elements within the content
  1. Check that the table does not contain any th elements.
  2. Check that the table element does not contain a non-empty summary attribute.
  3. Check that the table element does not contain a caption element.</t>
  </si>
  <si>
    <t>https://www.w3.org/WAI/WCAG22/Techniques/failures/F46</t>
  </si>
  <si>
    <t>F48</t>
  </si>
  <si>
    <t>Failure of Success Criterion 1.3.1 due to using the pre element to markup tabular information
Procedure
1. Check to see if the pre element is used
2. For each occurrence of the pre element, check whether the enclosed information is tabular.</t>
  </si>
  <si>
    <t>https://www.w3.org/WAI/WCAG22/Techniques/failures/F48</t>
  </si>
  <si>
    <t>F90</t>
  </si>
  <si>
    <t>Failure of Success Criterion 1.3.1 for incorrectly associating table headers and content via the headers and id attributes
Procedure
1. For tables that associate data cells to header cells via the id and headers attributes, check that the programmatic association is correct.</t>
  </si>
  <si>
    <t>https://www.w3.org/WAI/WCAG22/Techniques/failures/F90</t>
  </si>
  <si>
    <t>F91</t>
  </si>
  <si>
    <t>Failure of Success Criterion 1.3.1 for not correctly marking up table headers
Procedure
For all data tables, check if table headers can be correctly programmatically determined by use of one of the following mechanisms:
1. headers marked up with table header (th) elements
2. scope attributes on th for tables with more than a single row or column of table headers.
3. headers and data cells associated using headers and id attributes
4. headers marked up with ARIA role attributes rowheader or columnheader</t>
  </si>
  <si>
    <t>https://www.w3.org/WAI/WCAG22/Techniques/failures/F91</t>
  </si>
  <si>
    <t>F92</t>
  </si>
  <si>
    <t>Failure of Success Criterion 1.3.1 due to the use of role presentation on content which conveys semantic information
Procedure
1. Check if an element which conveys information, structure, or relationships through its semantic markup
2. Element has the attribute role="presentation".</t>
  </si>
  <si>
    <t>https://www.w3.org/WAI/WCAG22/Techniques/failures/F92</t>
  </si>
  <si>
    <t>F111</t>
  </si>
  <si>
    <t>Failure of Success Criteria 1.3.1, 2.5.3, and 4.1.2 due to a control with visible label text but no accessible name
Procedure
For all controls with a visible label (e.g., link text, button text, programmatically linked label, images in links or buttons with text, etc.), check that:
1. The control has a visible text label.
2. The control has an accessible name.
3. The accessible name contains the text that appears as the visible label.</t>
  </si>
  <si>
    <t>https://www.w3.org/WAI/WCAG22/Techniques/failures/F111</t>
  </si>
  <si>
    <t>G57</t>
  </si>
  <si>
    <t>1.3.2</t>
  </si>
  <si>
    <t>Meaningful Sequence</t>
  </si>
  <si>
    <t>Ordering the content in a meaningful sequence
Procedure
1. Linearize content using a standard approach for the technology (e.g., removing layout styles or running a linearization tool)
2. Check to see if the order of content yields the same meaning as the original</t>
  </si>
  <si>
    <t>https://www.w3.org/WAI/WCAG22/quickref/?showtechniques=121#meaningful-sequence</t>
  </si>
  <si>
    <t>https://www.w3.org/WAI/WCAG22/Techniques/general/G57</t>
  </si>
  <si>
    <t>When the sequence in which content is presented affects its meaning, a correct reading sequence can be programmatically determined.</t>
  </si>
  <si>
    <t>H34</t>
  </si>
  <si>
    <t>Using a Unicode right-to-left mark (RLM) or left-to-right mark (LRM) to mix text direction inline
Procedure
1. Examine the source for places where text changes direction.
2. When text changes direction, check whether neutral characters such as spaces or punctuation occur adjacent to text that is rendered in the non-default direction.
3. When check #2 is true and the HTML bidirectional algorithm would produce the wrong placement of the neutral characters, check whether the neutral characters are followed by Unicode right-to-left or left-to-right marks that cause neutral characters to be placed as part of the preceding characters.</t>
  </si>
  <si>
    <t>https://www.w3.org/WAI/WCAG22/Techniques/html/H34</t>
  </si>
  <si>
    <t>H56</t>
  </si>
  <si>
    <t>Using the dir attribute on an inline element to resolve problems with nested directional runs
Procedure
1. Examine the text direction of text in the document
2. If the text direction is right-to-left, check that for the ancestor element that has a `dir` attribute, the attribute has the value `"rtl"`
3. If the text direction is left-to-right, check that there is no ancestor element with a `dir` attribute, or that for the ancestor element that has a `dir` attribute, the attribute has the value `"ltr"`</t>
  </si>
  <si>
    <t>https://www.w3.org/WAI/WCAG22/Techniques/html/H56</t>
  </si>
  <si>
    <t>C6</t>
  </si>
  <si>
    <t>Positioning content based on structural markup
Procedure
For content which uses CSS for positioning:
1. Remove the style information from the document or turn off use of style sheets in the user agent
2. Check that the structural relations and the meaning of the content are preserved.</t>
  </si>
  <si>
    <t>https://www.w3.org/WAI/WCAG22/Techniques/css/C6</t>
  </si>
  <si>
    <t>C8</t>
  </si>
  <si>
    <t>Using CSS letter-spacing to control spacing within a word
Procedure
For each word that appears to have non-standard spacing between characters:
1. Check whether the CSS letter-spacing property was used to control spacing.</t>
  </si>
  <si>
    <t>https://www.w3.org/WAI/WCAG22/Techniques/css/C8</t>
  </si>
  <si>
    <t>C27</t>
  </si>
  <si>
    <t>Making the DOM order match the visual order
Procedure
1. Check the DOM order of the content.
2. Check the visual order of the content.
3. Check that the DOM order matches the visual order.</t>
  </si>
  <si>
    <t>https://www.w3.org/WAI/WCAG22/Techniques/css/C27</t>
  </si>
  <si>
    <t>PDF3</t>
  </si>
  <si>
    <t>Ensuring correct tab and reading order in PDF documents
Procedure
1. Open the PDF document in Adobe Acrobat Pro.
2. Use the keyboard (Tab key) to navigate the document.
3. Check that the Tab order follows the logical reading order of the document.</t>
  </si>
  <si>
    <t>https://www.w3.org/WAI/WCAG22/Techniques/pdf/PDF3</t>
  </si>
  <si>
    <t>F32</t>
  </si>
  <si>
    <t>Failure of Success Criterion 1.3.2 due to using white space characters to control spacing within a word
Procedure
For each word that appears to have non-standard spacing between characters:
1. Check whether any words in the text of the content contain white space characters.</t>
  </si>
  <si>
    <t>https://www.w3.org/WAI/WCAG22/Techniques/failures/F32</t>
  </si>
  <si>
    <t>F49</t>
  </si>
  <si>
    <t>Failure of Success Criterion 1.3.2 due to using an HTML layout table that does not make sense when linearized
Procedure
1. Linearize the content in either of the following ways:
  - Present the content in source code order
  - Remove the table markup from around the content
2. Check that the linear reading order matches any meaningful sequence conveyed through presentation.</t>
  </si>
  <si>
    <t>https://www.w3.org/WAI/WCAG22/Techniques/failures/F49</t>
  </si>
  <si>
    <t>F1</t>
  </si>
  <si>
    <t>Failure of Success Criterion 1.3.2 due to changing the meaning of content by positioning information with CSS
Procedure
For content which uses CSS for positioning:
1. Identify the content elements that use CSS for positioning.
2. Check that the reading order of the content is correct and the meaning of the content is preserved in relation to the surrounding page or context, using one of the following methods:
  - Code inspection: review the HTML code to determine the logical reading sequence.
  - Accessibility tree inspection: examine the accessibility tree to confirm the reading order.
  - Assistive Technology test: use a screen reader to check how the content is read aloud.
  - Visual test without CSS positioning: remove positioning styles and observe the visual reading sequence.</t>
  </si>
  <si>
    <t>https://www.w3.org/WAI/WCAG22/Techniques/failures/F1</t>
  </si>
  <si>
    <t>G96</t>
  </si>
  <si>
    <t>1.3.3</t>
  </si>
  <si>
    <t>Sensory Characteristics</t>
  </si>
  <si>
    <t>Providing textual identification of items that otherwise rely only on sensory information to be understood
Procedure
Find all references in the web page that mention the shape, size, or position of an object. For each such item:
1. Check that the reference contains additional information that allows the item to be located and identified without any knowledge of its shape, size, or relative position.</t>
  </si>
  <si>
    <t>https://www.w3.org/WAI/WCAG22/quickref/?showtechniques=121#sensory-characteristics</t>
  </si>
  <si>
    <t>https://www.w3.org/WAI/WCAG22/Techniques/general/G96</t>
  </si>
  <si>
    <t>Instructions provided for understanding and operating content do not rely solely on sensory characteristics of components such as shape, color, size, visual location, orientation, or sound.</t>
  </si>
  <si>
    <t>F14</t>
  </si>
  <si>
    <t>Failure of Success Criterion 1.3.3 due to identifying content only by its shape or location
Procedure
1. Examine the web page for textual references to content within the web page.
2. Check that the references do not rely on only the visual shape or location of the content.</t>
  </si>
  <si>
    <t>https://www.w3.org/WAI/WCAG22/Techniques/failures/F14</t>
  </si>
  <si>
    <t>F26</t>
  </si>
  <si>
    <t>Failure of Success Criterion 1.3.3 due to using a graphical symbol alone to convey information
Procedure
For each instruction that refers to non-text marks that convey information:
1. Check whether there are other means to determine the information conveyed by the non-text marks.</t>
  </si>
  <si>
    <t>https://www.w3.org/WAI/WCAG22/Techniques/failures/F26</t>
  </si>
  <si>
    <t>G214</t>
  </si>
  <si>
    <t>1.3.4</t>
  </si>
  <si>
    <t>Orientation</t>
  </si>
  <si>
    <t>Using a control to allow access to content in different orientations which is otherwise restricted
Procedure
For content that does not change orientation when the device is rotated:
1. Check for a control within the user interface to change the orientation of the content.
2. Check that when the control is operated that the content changes orientation.</t>
  </si>
  <si>
    <t>https://www.w3.org/WAI/WCAG22/quickref/?showtechniques=121#orientation</t>
  </si>
  <si>
    <t>https://www.w3.org/WAI/WCAG22/Techniques/general/G214</t>
  </si>
  <si>
    <t>Content does not restrict its view and operation to a single display orientation, such as portrait or landscape, unless a specific display orientation is essential.</t>
  </si>
  <si>
    <t>F97</t>
  </si>
  <si>
    <t>Failure due to locking the orientation to landscape or portrait view
Procedure
1. Open the content in landscape view. Check that the content is oriented for this view.
2. Open the content in portrait view. Check that the content is oriented for this view.
3. Check if portrait or landscape view is essential for the viewing and operation of the content.
4. If there are any controls in the content, user agent, operating system, or device that restrict or allow orientation changes, check that the controls can be set to allow checks #1 and #2 to be true.</t>
  </si>
  <si>
    <t>https://www.w3.org/WAI/WCAG22/Techniques/failures/F97</t>
  </si>
  <si>
    <t>F100</t>
  </si>
  <si>
    <t>Failure of Success Criterion 1.3.4 due to showing a message asking to reorient device
Procedure
1. Open the content in landscape view. Check if a message appears asking to reorient the device.
2. Open the content in portrait view. Check if a message appears asking to reorient the device.
3. Check if portrait or landscape view is essential for the viewing and operation of the content.</t>
  </si>
  <si>
    <t>https://www.w3.org/WAI/WCAG22/Techniques/failures/F100</t>
  </si>
  <si>
    <t>H98</t>
  </si>
  <si>
    <t>1.3.5</t>
  </si>
  <si>
    <t>Identify Input Purpose</t>
  </si>
  <si>
    <t>Using HTML autocomplete attributes
Procedure
For each form field that collects information about the user and corresponds to an `autocomplete` field described in WCAG 2.1 7. Section 7: Input Purposes for User Interface Components, check the following:
1. The form field has a valid and well-formed `autocomplete` attribute and value pair.
2. The purpose of the form field indicated by the label corresponds with the `autocomplete` token on the input.</t>
  </si>
  <si>
    <t>https://www.w3.org/WAI/WCAG22/quickref/?showtechniques=121#identify-input-purpose</t>
  </si>
  <si>
    <t>https://www.w3.org/WAI/WCAG22/Techniques/html/H98</t>
  </si>
  <si>
    <t>The purpose of each input field collecting information about the user can be programmatically determined when: The input field serves a purpose identified in the Input Purposes for user interface components section; and The content is implemented using technologies with support for identifying the expected meaning for form input data.</t>
  </si>
  <si>
    <t>F107</t>
  </si>
  <si>
    <t>Failure of Success Criterion 1.3.5 due to incorrect autocomplete attribute values
Procedure
For each form field which collects information about the user of the form:
1. Check that the form field has an autocomplete attribute and value pair that does not match the purpose of the input.
2. Check that the input purpose is not communicated programmatically through any other method.</t>
  </si>
  <si>
    <t>https://www.w3.org/WAI/WCAG22/Techniques/failures/F107</t>
  </si>
  <si>
    <t>G14</t>
  </si>
  <si>
    <t>Distinguishable</t>
  </si>
  <si>
    <t>1.4</t>
  </si>
  <si>
    <t>1.4.1</t>
  </si>
  <si>
    <t>Use of Color</t>
  </si>
  <si>
    <t>Ensuring that information conveyed by color differences is also available in text
Procedure
For each item where a color difference is used to convey information:
1. Check that the information conveyed is also available in text and that the text is not conditional content.</t>
  </si>
  <si>
    <t>https://www.w3.org/WAI/WCAG22/quickref/?showtechniques=121#distinguishable</t>
  </si>
  <si>
    <t>https://www.w3.org/WAI/WCAG22/quickref/?showtechniques=121#use-of-color</t>
  </si>
  <si>
    <t>https://www.w3.org/WAI/WCAG22/Techniques/general/G14</t>
  </si>
  <si>
    <t>Color is not used as the only visual means of conveying information, indicating an action, prompting a response, or distinguishing a visual element. Note: This success criterion addresses color perception specifically. Other forms of perception are covered in Guideline 1.3 including programmatic access to color and other visual presentation coding.</t>
  </si>
  <si>
    <t>G205</t>
  </si>
  <si>
    <t>Including a text cue for colored form control labels
Procedure
For any content where color differences are used to convey information:
1. Check that the same information is available through text or character cues.</t>
  </si>
  <si>
    <t>https://www.w3.org/WAI/WCAG22/Techniques/general/G205</t>
  </si>
  <si>
    <t>G182</t>
  </si>
  <si>
    <t>Ensuring that additional visual cues are available when text color differences are used to convey information
Procedure
1. Locate all instances where the color of text is used to convey information.
2. Check that any text where color is used to convey information is also styled or uses a font that makes it visually distinct from other text around it.</t>
  </si>
  <si>
    <t>https://www.w3.org/WAI/WCAG22/Techniques/general/G182</t>
  </si>
  <si>
    <t>G183</t>
  </si>
  <si>
    <t>Using a contrast ratio of 3:1 with surrounding text and providing additional visual cues on hover for links or controls where color alone is used to identify them
Procedure
For each instance where color is used to convey information about text:
1. Check that the relative luminance of the color of the text differs from the relative luminance of the surrounding text by a contrast ratio of at least 3:1.
2. Check that hovering over the link causes a visual enhancement (such as an underline, font change, etc.)</t>
  </si>
  <si>
    <t>https://www.w3.org/WAI/WCAG22/Techniques/general/G183</t>
  </si>
  <si>
    <t>G111</t>
  </si>
  <si>
    <t>Using color and pattern
Procedure
For each image within the web page that use color differences to convey information:
1. Check that all information that is conveyed using color is also conveyed using patterns that do not rely on color.</t>
  </si>
  <si>
    <t>https://www.w3.org/WAI/WCAG22/Techniques/general/G111</t>
  </si>
  <si>
    <t>Failure of Success Criterion 1.1.1 and 1.4.1 due to having a text alternative that does not include information that is conveyed by color differences in the image
Procedure
For all images in the content that convey information by way of color differences:
1. Check that the information conveyed by color differences is not included in the text alternative for the image.</t>
  </si>
  <si>
    <t>F73</t>
  </si>
  <si>
    <t>Failure of Success Criterion 1.4.1 due to creating links that are not visually evident without color vision
Procedure
1. Check that each link in the page that is identifiable by color (hue) is visually identifiable via some other means (e.g., underlined, bolded, italicized, sufficient difference in lightness, etc).</t>
  </si>
  <si>
    <t>https://www.w3.org/WAI/WCAG22/Techniques/failures/F73</t>
  </si>
  <si>
    <t>F81</t>
  </si>
  <si>
    <t>Failure of Success Criterion 1.4.1 due to identifying required or error fields using color differences only
Procedure
For all required fields or error fields in the web page that are identified using color differences:
1. Check that an non-color way to identify the required field or error field is provided.</t>
  </si>
  <si>
    <t>https://www.w3.org/WAI/WCAG22/Techniques/failures/F81</t>
  </si>
  <si>
    <t>G60</t>
  </si>
  <si>
    <t>1.4.2</t>
  </si>
  <si>
    <t>Audio Control</t>
  </si>
  <si>
    <t>Playing a sound that turns off automatically within three seconds
Procedure
1. Load the web page
2. Check that all sound that plays automatically stops in 3 seconds or less</t>
  </si>
  <si>
    <t>https://www.w3.org/WAI/WCAG22/quickref/?showtechniques=121#audio-control</t>
  </si>
  <si>
    <t>https://www.w3.org/WAI/WCAG22/Techniques/general/G60</t>
  </si>
  <si>
    <t>If any audio on a web page plays automatically for more than 3 seconds, either a mechanism is available to pause or stop the audio, or a mechanism is available to control audio volume independently from the overall system volume level. Note: Since any content that does not meet this success criterion can interfere with a user's ability to use the whole page, all content on the web page (whether or not it is used to meet other success criteria) must meet this success criterion. See Conformance Requirement 5: Non-Interference.</t>
  </si>
  <si>
    <t>G170</t>
  </si>
  <si>
    <t>Providing a control near the beginning of the web page that turns off sounds that play automatically
Procedure
1. Load a web page.
2. Check for music or sounds that start automatically.
3. Check that a control that allows the user to turn off the sounds is provided near the beginning of the page.</t>
  </si>
  <si>
    <t>https://www.w3.org/WAI/WCAG22/Techniques/general/G170</t>
  </si>
  <si>
    <t>G171</t>
  </si>
  <si>
    <t>Playing sounds only on user request
Procedure
1. Load a web page that is known to contain sounds that play for 3 seconds or longer.
2. Check that no sounds play automatically.
3. Check that there is a way for a user to start sounds manually.</t>
  </si>
  <si>
    <t>https://www.w3.org/WAI/WCAG22/Techniques/general/G171</t>
  </si>
  <si>
    <t>F23</t>
  </si>
  <si>
    <t>Failure of 1.4.2 due to playing a sound longer than 3 seconds where there is no mechanism to turn it off
Procedure
1. Check that there is a mechanism, independent from the overall system volume control, to turn off any sound that plays automatically for more than three seconds.</t>
  </si>
  <si>
    <t>https://www.w3.org/WAI/WCAG22/Techniques/failures/F23</t>
  </si>
  <si>
    <t>F93</t>
  </si>
  <si>
    <t>Failure of Success Criterion 1.4.2 for absence of a way to pause or stop an HTML5 media element that autoplays
Procedure
1. Check if an `audio` or `video` element has an active audio track.
2. Check if the audio or video lasts longer than 3 seconds.
3. Check if the element has an `autoplay` attribute.
4. Check if the element does not have a `muted` attribute.
5. Check if no command or control has been provided to stop or pause the media element.</t>
  </si>
  <si>
    <t>https://www.w3.org/WAI/WCAG22/Techniques/failures/F93</t>
  </si>
  <si>
    <t>G18</t>
  </si>
  <si>
    <t>1.4.3</t>
  </si>
  <si>
    <t>Contrast (Minimum)</t>
  </si>
  <si>
    <t>Ensuring that a contrast ratio of at least 4.5:1 exists between text (and images of text) and background behind the text
Procedure
1. Measure the relative luminance of each letter (unless they are all uniform) using the formula: L = 0.2126 * R + 0.7152 * G + 0.0722 * B.
2. Measure the relative luminance of the background pixels immediately next to the letter using same formula.
3. Calculate the contrast ratio using the formula (L1 + 0.05) / (L2 + 0.05), where L1 is the relative luminance of the lighter of the foreground or background colors, and L2 is the relative luminance of the darker of the foreground or background colors.
4. Check that the contrast ratio is equal to or greater than 4.5:1.</t>
  </si>
  <si>
    <t>https://www.w3.org/WAI/WCAG22/quickref/?showtechniques=121#contrast-minimum</t>
  </si>
  <si>
    <t>https://www.w3.org/WAI/WCAG22/Techniques/general/G18</t>
  </si>
  <si>
    <t>The visual presentation of text and images of text has a contrast ratio of at least 4.5:1, except for the following: Large Text: Large-scale text and images of large-scale text have a contrast ratio of at least 3:1; Incidental: Text or images of text that are part of an inactive user interface component, that are pure decoration, that are not visible to anyone, or that are part of a picture that contains significant other visual content, have no contrast requirement. Logotypes: Text that is part of a logo or brand name has no contrast requirement.</t>
  </si>
  <si>
    <t>G148</t>
  </si>
  <si>
    <t>Not specifying background color, not specifying text color, and not using technology features that change those defaults
Procedure
1. Look in all places that text color can be specified
2. Check that text color is not specified
3. Look in all areas that background color or image used as a background can be specified
4. Check that no background color or image used as a background is specified</t>
  </si>
  <si>
    <t>https://www.w3.org/WAI/WCAG22/Techniques/general/G148</t>
  </si>
  <si>
    <t>G174</t>
  </si>
  <si>
    <t>Providing a control with a sufficient contrast ratio that allows users to switch to a presentation that uses sufficient contrast
Procedure
1. Check that a link or control exists on the original page that provides access to the alternate version.
2. Check that the link or control on the original page conforms to all success criteria for the conformance level being tested.
3. Check that the alternate version meets the contrast and all other success criteria for the conformance level being tested.</t>
  </si>
  <si>
    <t>https://www.w3.org/WAI/WCAG22/Techniques/general/G174</t>
  </si>
  <si>
    <t>G145</t>
  </si>
  <si>
    <t>Ensuring that a contrast ratio of at least 3:1 exists between text (and images of text) and background behind the text
Procedure
1. Measure the relative luminance of each letter (unless they are all uniform) using the formula: L = 0.2126 * R + 0.7152 * G + 0.0722 * B.
2. Measure the relative luminance of the background pixels immediately next to the letter using same formula.
3. Calculate the contrast ratio using the formula (L1 + 0.05) / (L2 + 0.05), where L1 is the relative luminance of the lighter of the foreground or background colors, and L2 is the relative luminance of the darker of the foreground or background colors.
4. Check that the contrast ratio is equal to or greater than 3:1.</t>
  </si>
  <si>
    <t>https://www.w3.org/WAI/WCAG22/Techniques/general/G145</t>
  </si>
  <si>
    <t>F24</t>
  </si>
  <si>
    <t>Failure of Success Criterion 1.4.3, 1.4.6 and 1.4.8 due to specifying foreground colors without specifying background colors or vice versa
Procedure
1. Examine the code of the web page.
2. Check to see if an author-specified foreground color is present
3. Check to see if an author-specified background color is present</t>
  </si>
  <si>
    <t>https://www.w3.org/WAI/WCAG22/Techniques/failures/F24</t>
  </si>
  <si>
    <t>F83</t>
  </si>
  <si>
    <t>Failure of Success Criterion 1.4.3 and 1.4.6 due to using background images that do not provide sufficient contrast with foreground text (or images of text)
Procedure
1. **Quickcheck:** First do a quick check to see if the contrast between the text and the area of the image that is darkest (for dark text) or lightest (for light text) meets or exceeds that required by the Success Criterion (1.4.3 Contrast (Minimum) or 1.4.6 Contrast (Enhanced)). If the contrast meets or exceeds the specified contrast, then there is no failure.
2. If the Quickcheck is false, then check to see if the background behind each letter has sufficient contrast with the letter.</t>
  </si>
  <si>
    <t>https://www.w3.org/WAI/WCAG22/Techniques/failures/F83</t>
  </si>
  <si>
    <t>G142</t>
  </si>
  <si>
    <t>1.4.4</t>
  </si>
  <si>
    <t>Resize Text</t>
  </si>
  <si>
    <t>Using a technology that has commonly-available user agents that support zoom
Procedure
1. Display content in a user agent
2. Zoom content to 200%
3. Check whether all content and functionality is available</t>
  </si>
  <si>
    <t>https://www.w3.org/WAI/WCAG22/quickref/?showtechniques=121#resize-text</t>
  </si>
  <si>
    <t>https://www.w3.org/WAI/WCAG22/Techniques/general/G142</t>
  </si>
  <si>
    <t>Except for captions and images of text, text can be resized without assistive technology up to 200 percent without loss of content or functionality.</t>
  </si>
  <si>
    <t>C28</t>
  </si>
  <si>
    <t>Specifying the size of text containers using em units
Procedure
* Identify containers that contain text or allow text input.
* Check the container's width and/or height are specified in `em` units.</t>
  </si>
  <si>
    <t>https://www.w3.org/WAI/WCAG22/Techniques/css/C28</t>
  </si>
  <si>
    <t>C12</t>
  </si>
  <si>
    <t>Using percent for font sizes
Procedure
1. Check that the value of the CSS property that defines the font size is a percentage.</t>
  </si>
  <si>
    <t>https://www.w3.org/WAI/WCAG22/Techniques/css/C12</t>
  </si>
  <si>
    <t>C13</t>
  </si>
  <si>
    <t>Using named font sizes
Procedure
1. Check that the value of the CSS property that defines the font size is one of `xx-small`, `x-small`, `small`, `medium`, `large`, `x-large`, `xx-large`, `smaller`, or `larger`.</t>
  </si>
  <si>
    <t>https://www.w3.org/WAI/WCAG22/Techniques/css/C13</t>
  </si>
  <si>
    <t>C14</t>
  </si>
  <si>
    <t>Using em units for font sizes
Procedure
1. Check that the value of the CSS property that defines the font size is expressed in em units.</t>
  </si>
  <si>
    <t>https://www.w3.org/WAI/WCAG22/Techniques/css/C14</t>
  </si>
  <si>
    <t>SCR34</t>
  </si>
  <si>
    <t>Calculating size and position in a way that scales with text size
Procedure
1. Open a page that is designed to adjust container sizes as text size changes.
2. Increase the text size up to 200% using the browser's text size adjustment (not the zoom feature).
3. Examine the text to ensure the text container size is adjusted to accommodate the size of the text.
4. Ensure that no text is "clipped" or has disappeared as a result of the increase in text size.</t>
  </si>
  <si>
    <t>https://www.w3.org/WAI/WCAG22/Techniques/client-side-script/SCR34</t>
  </si>
  <si>
    <t>G146</t>
  </si>
  <si>
    <t>Using liquid layout
Procedure
1. Display content in a user agent.
2. Increase text size to 200%.
3. Check whether all content and functionality is available with no horizontal scrolling.</t>
  </si>
  <si>
    <t>https://www.w3.org/WAI/WCAG22/Techniques/general/G146</t>
  </si>
  <si>
    <t>G178</t>
  </si>
  <si>
    <t>Providing controls on the web page that allow users to incrementally change the size of all text on the page up to 200 percent
Procedure
1. Set the viewport size to 1024px by 768px or larger.
2. Increase the text size and check to see if the text size increased.
3. Check that the text size can be increased to 200% of the original size.
4. Check that after increasing the text size to 200% of the original size, there is no loss of content or functionality (e.g. no parts of the text are clipped, boxes do not overlap, controls are not obscured or separated from their labels, etc.).
5. Decrease the text size to its default value and check to see if it in fact returned to the default size.</t>
  </si>
  <si>
    <t>https://www.w3.org/WAI/WCAG22/Techniques/general/G178</t>
  </si>
  <si>
    <t>G179</t>
  </si>
  <si>
    <t>Ensuring that there is no loss of content or functionality when the text resizes and text containers do not change their width
Procedure
1. Increase text size to 200%.
2. Check whether all content and functionality is available.</t>
  </si>
  <si>
    <t>https://www.w3.org/WAI/WCAG22/Techniques/general/G179</t>
  </si>
  <si>
    <t>F69</t>
  </si>
  <si>
    <t>Failure of Success Criterion 1.4.4 when resizing visually rendered text up to 200 percent causes the text, image or controls to be clipped, truncated or obscured
Procedure
1. Increase the text size of the content by 200%.
2. Check that no text is clipped, truncated, or obscured.</t>
  </si>
  <si>
    <t>https://www.w3.org/WAI/WCAG22/Techniques/failures/F69</t>
  </si>
  <si>
    <t>F80</t>
  </si>
  <si>
    <t>Failure of Success Criterion 1.4.4 when text-based form controls do not resize when visually rendered text is resized up to 200%
Procedure
1. Enter some text into text-based form controls that receive user entered text.
2. Increase the text size of the content by 200%.
3. Check that the text in text-based form controls has increased by 200%.</t>
  </si>
  <si>
    <t>https://www.w3.org/WAI/WCAG22/Techniques/failures/F80</t>
  </si>
  <si>
    <t>F94</t>
  </si>
  <si>
    <t>Failure of Success Criterion 1.4.4 due to incorrect use of viewport units to resize text
Procedure
1. Visit the page to be tested.
2. Use any of the following methods to resize text when available:
   * the zoom feature of the browser,
   * the text-sizing feature of the browser,
   * on-page controls for resizing text.
3. Check that the text resizes by one of the methods above, and can be resized up to 200% of the default.</t>
  </si>
  <si>
    <t>https://www.w3.org/WAI/WCAG22/Techniques/failures/F94</t>
  </si>
  <si>
    <t>C22</t>
  </si>
  <si>
    <t>1.4.5</t>
  </si>
  <si>
    <t>Images of Text</t>
  </si>
  <si>
    <t>Using CSS to control visual presentation of text
Procedure
1. Check whether CSS properties were used to control the visual presentation of text</t>
  </si>
  <si>
    <t>https://www.w3.org/WAI/WCAG22/quickref/?showtechniques=121#images-of-text</t>
  </si>
  <si>
    <t>https://www.w3.org/WAI/WCAG22/Techniques/css/C22</t>
  </si>
  <si>
    <t>If the technologies being used can achieve the visual presentation, text is used to convey information rather than images of text except for the following: Customizable: The image of text can be visually customized to the user's requirements; Essential: A particular presentation of text is essential to the information being conveyed. Note: Logotypes (text that is part of a logo or brand name) are considered essential.</t>
  </si>
  <si>
    <t>C30</t>
  </si>
  <si>
    <t>Using CSS to replace text with images of text and providing user interface controls to switch
Procedure
1. Check that the web page includes a control that allows users to select an alternate presentation.
2. Check that when the control is activated the resulting page includes text (programmatically determined text) wherever images of text had been used.</t>
  </si>
  <si>
    <t>https://www.w3.org/WAI/WCAG22/Techniques/css/C30</t>
  </si>
  <si>
    <t>PDF7</t>
  </si>
  <si>
    <t>Performing OCR on a scanned PDF document to provide actual text
Procedure
1. For each page converted to text using OCR, ensure that the resulting PDF has been converted correctly, using one of the following ways:
   1. Read the PDF document with a screen reader or a tool that reads aloud, listening to hear that all text is read correctly and in the correct reading order.
   2. Save the document as text and check that the converted text is complete and in the correct reading order.
   3. Use a tool that is capable of showing the converted content to open the PDF document and verify that all text was converted and is in the correct reading order.
   4. Use a tool that exposes the document through the accessibility API and verify that all text was converted and is in the correct reading order.</t>
  </si>
  <si>
    <t>https://www.w3.org/WAI/WCAG22/Techniques/pdf/PDF7</t>
  </si>
  <si>
    <t>C32</t>
  </si>
  <si>
    <t>1.4.10</t>
  </si>
  <si>
    <t>Reflow</t>
  </si>
  <si>
    <t>Using media queries and grid CSS to reflow columns
Procedure
1. Display the web page in a user agent capable of 400% zoom and set the viewport dimensions (in CSS pixels) to 1280 wide and 1024 high.
2. Zoom in by 400%.
3. For content read horizontally, check that all content and functionality is available without horizontal scrolling.
4. For content read vertically, check that all content and functionality is available without vertical scrolling.
Note: If the browser is not capable of zooming to 400%, you can reduce the width or height of the browser proportionally. For example, at 300% zoom the viewport should be sized to 960px wide.</t>
  </si>
  <si>
    <t>https://www.w3.org/WAI/WCAG22/quickref/?showtechniques=121#reflow</t>
  </si>
  <si>
    <t>https://www.w3.org/WAI/WCAG22/Techniques/css/C32</t>
  </si>
  <si>
    <t>Content can be presented without loss of information or functionality, and without requiring scrolling in two dimensions for: Vertical scrolling content at a width equivalent to 320 CSS pixels; Horizontal scrolling content at a height equivalent to 256 CSS pixels. Except for parts of the content which require two-dimensional layout for usage or meaning.</t>
  </si>
  <si>
    <t>C31</t>
  </si>
  <si>
    <t>Using CSS Flexbox to reflow content
Procedure
1. Display the web page in a user agent capable of 400% zoom and set the viewport dimensions (in CSS pixels) to 1280 wide and 1024 high.
2. Zoom in by 400%.
3. For content read horizontally, check that all content and functionality is available without horizontal scrolling.
4. For content read vertically, check that all content and functionality is available without vertical scrolling.
Note: If the browser is not capable of zooming to 400%, you can reduce the width of the browser proportionally. For example, at 300% zoom the viewport should be sized to 960px wide.</t>
  </si>
  <si>
    <t>https://www.w3.org/WAI/WCAG22/Techniques/css/C31</t>
  </si>
  <si>
    <t>C33</t>
  </si>
  <si>
    <t>Allowing for Reflow with Long URLs and Strings of Text
Procedure
For strings of text that are wider than 320px check:
1. Display the web page in a user agent capable of 400% zoom and set the viewport dimensions (in CSS pixels) to 1280 wide and 1024 high.
2. Zoom in by 400%.
3. For content read horizontally, check that all content and functionality is available without horizontal scrolling.
4. For content read vertically, check that all content and functionality is available without vertical scrolling.
Note: If the browser is not capable of zooming to 400%, you can reduce the width of the browser proportionally. For example, at 300% zoom the viewport should be sized to 960px wide.</t>
  </si>
  <si>
    <t>https://www.w3.org/WAI/WCAG22/Techniques/css/C33</t>
  </si>
  <si>
    <t>C38</t>
  </si>
  <si>
    <t>Using CSS width, max-width and flexbox to fit labels and inputs
Procedure
1. Display the web page in a user agent capable of 400% zoom and set the viewport dimensions (in CSS pixels) to 1280 wide and 1024 high.
2. Zoom in by 400%.
3. For vertically scrolling content, all labels and inputs fit in their available space without horizontal scrolling.
NB: If the browser is not capable of zooming to 400%, you can reduce the width of the browser proportionally. For example, at 300% zoom the viewport should be sized to 960px wide.</t>
  </si>
  <si>
    <t>https://www.w3.org/WAI/WCAG22/Techniques/css/C38</t>
  </si>
  <si>
    <t>G206</t>
  </si>
  <si>
    <t>Providing options within the content to switch to a layout that does not require the user to scroll horizontally to read a line of text
Procedure
1. Open the content that requires horizontal scrolling on a full screen window.
2. Check that there is an option within the content to switch to a layout that does not require the user to scroll horizontally to read a line of text.
3. Activate the option.
4. Check to make sure that horizontal scrolling is not required to read any line of text.</t>
  </si>
  <si>
    <t>https://www.w3.org/WAI/WCAG22/Techniques/general/G206</t>
  </si>
  <si>
    <t>G224</t>
  </si>
  <si>
    <t>Accounting for meaningful text indentation and Reflow
Procedure
1. Display the web page in a user agent where the page can be zoomed, or the user agent can be resized.
2. Zoom in or resize the browser window so that the viewport is equivalent to 320 CSS pixels wide.
3. The list content fits within the width so that it is only necessary so scroll vertically to read the list.
4. Or, each nested list can be horizontally scrolled into view. Only vertical scrolling is necessary to read the content of list items within each specific nested list level.
1. Display the web page in a user agent where the page can be zoomed, or the user agent can be resized.
2. Zoom in or resize the browser window so that the viewport is equivalent to 320 CSS pixels wide.
3. The code snippets fits within the width so that it is only necessary so scroll vertically to read each line of code.
4. Or, for code where non-wrapping lines are not essential, the code wraps or a mechanism is provided to allow line wrapping.
5. Or, the indentation and linebreaks are meaningful to the code language.</t>
  </si>
  <si>
    <t>https://www.w3.org/WAI/WCAG22/Techniques/general/G224</t>
  </si>
  <si>
    <t>G225</t>
  </si>
  <si>
    <t>Section panels that scroll horizontally are designed to fit within a width of 320 CSS pixels on a vertically scrolling page
Procedure
1. Check that the layout includes sections of content that scroll horizontally within a vertically scrolling page.
2. Check that each horizontally scrolling section is divided into distinct panels.
3. Open the webpage in a user agent that supports 400% zoom, setting the viewport dimensions to 1280 CSS pixels in width.
4. Activate the zoom function to enlarge the view by 400%.
5. Check that the content of each individual panel within the horizontally scrolling sections is fully readable without the need for additional horizontal scrolling.
Note: The native browser scrollbar is not included in the viewport dimensions. Therefore, when setting the view to 1280 CSS pixels wide for a vertically scrolling page, make sure to exclude the scrollbar width.</t>
  </si>
  <si>
    <t>https://www.w3.org/WAI/WCAG22/Techniques/general/G225</t>
  </si>
  <si>
    <t>F102</t>
  </si>
  <si>
    <t>Failure of Success Criterion 1.4.10 due to content disappearing and not being available when content has reflowed
Procedure
1. Check visible content elements at a desktop viewport width such as 1280px
2. Set the viewport width to 320px by narrowing the browser window, or by zooming in so that the viewport width is now 320px (when starting with a 1280px viewport width at 100% browser zoom, this can be done by zooming in to 400%)
3. For each content element that is not provided at the viewport width of 320px, check that there is a way to reach the same or equivalent content via disclosure widgets, pop-ups, or links to other views</t>
  </si>
  <si>
    <t>https://www.w3.org/WAI/WCAG22/Techniques/failures/F102</t>
  </si>
  <si>
    <t>G195</t>
  </si>
  <si>
    <t>1.4.11</t>
  </si>
  <si>
    <t>Non-text Contrast</t>
  </si>
  <si>
    <t>Using an author-supplied, highly visible focus indicator
Procedure
1. Identify the focus indicator used on the page.
2. Check that the focus indicator is highly visible.
3. Check that the focus indicator is consistent across all focusable elements.</t>
  </si>
  <si>
    <t>https://www.w3.org/WAI/WCAG22/quickref/?showtechniques=121#non-text-contrast</t>
  </si>
  <si>
    <t>https://www.w3.org/WAI/WCAG22/Techniques/general/G195</t>
  </si>
  <si>
    <t>The visual presentation of the following have a contrast ratio of at least 3:1 against adjacent color(s): User Interface Components: Visual information required to identify user interface components and states, except for inactive components or where the appearance of the component is determined by the user agent and not modified by the author; Graphical Objects: Parts of graphics required to understand the content, except when a particular presentation of graphics is essential to the information being conveyed.</t>
  </si>
  <si>
    <t>G207</t>
  </si>
  <si>
    <t>Ensuring that a contrast ratio of 3:1 is provided for icons
Procedure
For each graphical object required for understanding use a color contrast tool to:
1. Determine the foreground color of the graphical object.
2. Determine the adjacent background color. If the background color is a gradient or pattern, identify the color with the least contrast to the foreground color.
3. Check that the contrast ratio is equal to or greater than 3:1.
4. If part of the background area does not meet 3:1 with the foreground, assume that parts of the icon adjacent to the area or areas are not visible.
5. Check that the icon is still recognizable without any area of insufficient contrast.</t>
  </si>
  <si>
    <t>https://www.w3.org/WAI/WCAG22/Techniques/general/G207</t>
  </si>
  <si>
    <t>G209</t>
  </si>
  <si>
    <t>Provide sufficient contrast at the boundaries between adjoining colors
Procedure
For each graphical object required for understanding use a color contrast tool to:
1. Measure the contrast ratio of each color compared to the adjacent color(s) or border (if present).
2. Check that the contrast ratio is at least 3:1 for each adjacent color or border (if present).</t>
  </si>
  <si>
    <t>https://www.w3.org/WAI/WCAG22/Techniques/general/G209</t>
  </si>
  <si>
    <t>F78</t>
  </si>
  <si>
    <t>Failure of Success Criterion 1.4.11, 2.4.7 and 2.4.13 due to styling element outlines and borders in a way that removes or renders non-visible the visual focus indicator
Procedure
1. Set the focus to all focusable elements on a page using the keyboard.
2. Check that the focus indicator is visible.</t>
  </si>
  <si>
    <t>https://www.w3.org/WAI/WCAG22/Techniques/failures/F78</t>
  </si>
  <si>
    <t>C36</t>
  </si>
  <si>
    <t>1.4.12</t>
  </si>
  <si>
    <t>Text Spacing</t>
  </si>
  <si>
    <t>Allowing for text spacing override
Procedure
For elements which contain text that is intended to wrap:
1. Set zoom level to 100%.
2. Use a tool or another mechanism to apply the text spacing metrics (line height, and paragraph, letter, and word spacing), such as the Text Spacing Bookmarklet or a user-style browser plugin.
3. Check that all content and functionality is available e.g., text in containers is not truncated and does not overlap other content.</t>
  </si>
  <si>
    <t>https://www.w3.org/WAI/WCAG22/quickref/?showtechniques=121#text-spacing</t>
  </si>
  <si>
    <t>https://www.w3.org/WAI/WCAG22/Techniques/css/C36</t>
  </si>
  <si>
    <t>In content implemented using markup languages that support the following text style properties, no loss of content or functionality occurs by setting all of the following and by changing no other style property: Line height (line spacing) to at least 1.5 times the font size; Spacing following paragraphs to at least 2 times the font size; Letter spacing (tracking) to at least 0.12 times the font size; Word spacing to at least 0.16 times the font size. Exception: Human languages and scripts that do not make use of one or more of these text style properties in written text can conform using only the properties that exist for that combination of language and script.</t>
  </si>
  <si>
    <t>C35</t>
  </si>
  <si>
    <t>Allowing for text spacing without wrapping
Procedure
For elements which contain text that is not intended to wrap:
1. Set zoom level to 100%.
2. Use a tool or another mechanism to apply the text spacing metrics (line height, and paragraph, letter, and word spacing), such as the Text Spacing Bookmarklet or a user-style browser plugin.
3. Check that all content and functionality is available e.g., text in containers is not truncated and does not overlap other content.</t>
  </si>
  <si>
    <t>https://www.w3.org/WAI/WCAG22/Techniques/css/C35</t>
  </si>
  <si>
    <t>F104</t>
  </si>
  <si>
    <t>Failure of Success Criterion 1.4.12 due to clipped or overlapped content when text spacing is adjusted
Procedure
1. Open the page and review the available content.
2. Override the CSS on the page using a user stylesheet, bookmarklet, extension, or application with the values listed in the success criterion:
   1. Line height to at least 1.5 times the font size;
   2. Spacing following paragraphs to at least 2 times the font size;
   3. Letter spacing (tracking) to at least 0.12 times the font size;
   4. Word spacing to 0.16 times the font size.
3. Check if any content is clipped, obscured, or lost due to the new text spacing.</t>
  </si>
  <si>
    <t>https://www.w3.org/WAI/WCAG22/Techniques/failures/F104</t>
  </si>
  <si>
    <t>SCR39</t>
  </si>
  <si>
    <t>1.4.13</t>
  </si>
  <si>
    <t>Content on Hover or Focus</t>
  </si>
  <si>
    <t>Making content on focus or hover hoverable, dismissible, and persistent
Procedure
For additional content that appears on hover check that:
1. The pointer can be moved over the additional content without the additional content disappearing.
2. The additional content stays visible and does not automatically close after a time.
3. The content can be closed without moving the pointer way from the trigger. Either by pressing `Esc`, by pressing another documented keyboard shortcut, or by activating the trigger.
For additional content that appears on focus check that:
1. The additional content stays visible and does not automatically close after a time.
2. The content can be closed without moving the focus way from the trigger. Either by pressing `Esc`, by pressing another other documented keyboard shortcut, or by activating the trigger.</t>
  </si>
  <si>
    <t>https://www.w3.org/WAI/WCAG22/quickref/?showtechniques=121#content-on-hover-or-focus</t>
  </si>
  <si>
    <t>https://www.w3.org/WAI/WCAG22/Techniques/client-side-script/SCR39</t>
  </si>
  <si>
    <t>Where receiving and then removing pointer hover or keyboard focus triggers additional content to become visible and then hidden, the following are true: Dismissible: A mechanism is available to dismiss the additional content without moving pointer hover or keyboard focus, unless the additional content communicates an input error or does not obscure or replace other content; Hoverable: If pointer hover can trigger the additional content, then the pointer can be moved over the additional content without the additional content disappearing; Persistent: The additional content remains visible until the hover or focus trigger is removed, the user dismisses it, or its information is no longer valid. Exception: The visual presentation of the additional content is controlled by the user agent and is not modified by the author.</t>
  </si>
  <si>
    <t>F95</t>
  </si>
  <si>
    <t>Failure of Success Criterion 1.4.13 due to content shown on hover not being hoverable
Procedure
For each area of additional content that appears on pointer hover:
1. The pointer can be moved over the new content without the additional content disappearing.
2. The appearance of the additional content is controlled by the user agent, not the author.</t>
  </si>
  <si>
    <t>https://www.w3.org/WAI/WCAG22/Techniques/failures/F95</t>
  </si>
  <si>
    <t>G202</t>
  </si>
  <si>
    <t>Keyboard Accessible</t>
  </si>
  <si>
    <t>2.1</t>
  </si>
  <si>
    <t>2.1.1</t>
  </si>
  <si>
    <t>Keyboard</t>
  </si>
  <si>
    <t>Ensuring keyboard control for all functionality
Procedure
1. Check to see whether all of the functions of the content can be accessed using only a keyboard or keyboard interface.</t>
  </si>
  <si>
    <t>https://www.w3.org/WAI/WCAG22/quickref/?showtechniques=121#keyboard-accessible</t>
  </si>
  <si>
    <t>https://www.w3.org/WAI/WCAG22/quickref/?showtechniques=121#keyboard</t>
  </si>
  <si>
    <t>https://www.w3.org/WAI/WCAG22/Techniques/general/G202</t>
  </si>
  <si>
    <t>All functionality of the content is operable through a keyboard interface without requiring specific timings for individual keystrokes, except where the underlying function requires input that depends on the path of the user's movement and not just the endpoints. Note 1: This exception relates to the underlying function, not the input technique. For example, if using handwriting to enter text, the input technique (handwriting) requires path-dependent input but the underlying function (text input) does not. Note 2: This does not forbid and should not discourage providing mouse input or other input methods in addition to keyboard operation.</t>
  </si>
  <si>
    <t>H91</t>
  </si>
  <si>
    <t>Using HTML form controls and links
Procedure
1. Inspect the HTML source code.
2. For each instance of links and form elements, check that the name, value, and state are specified.</t>
  </si>
  <si>
    <t>https://www.w3.org/WAI/WCAG22/Techniques/html/H91</t>
  </si>
  <si>
    <t>PDF23</t>
  </si>
  <si>
    <t>Providing interactive form controls in PDF documents
Procedure
1. Open the PDF document in Adobe Acrobat Pro.
2. Check that interactive form controls such as text fields, check boxes, radio buttons, list boxes, combo boxes, and buttons are provided.
3. Use the keyboard to navigate between and into form fields.
4. Check that each form field has a tooltip that provides an accessible name.</t>
  </si>
  <si>
    <t>https://www.w3.org/WAI/WCAG22/Techniques/pdf/PDF23</t>
  </si>
  <si>
    <t>G90</t>
  </si>
  <si>
    <t>Providing keyboard-triggered event handlers
Procedure
1. Check that each mouse-specific event handler (including `onmouseover`, `onmouseout`, `ondblclick`, `onmousemove`, `onmousedown`, and `onmouseup`) has a corresponding keyboard-specific event handler on the same element.</t>
  </si>
  <si>
    <t>https://www.w3.org/WAI/WCAG22/Techniques/general/G90</t>
  </si>
  <si>
    <t>SCR20</t>
  </si>
  <si>
    <t>Using both keyboard and other device-specific functions
Procedure
1. Find all interactive functionality
2. Check that all interactive functionality can be accessed using the keyboard alone</t>
  </si>
  <si>
    <t>https://www.w3.org/WAI/WCAG22/Techniques/client-side-script/SCR20</t>
  </si>
  <si>
    <t>SCR35</t>
  </si>
  <si>
    <t>Making actions keyboard accessible by using the onclick event of anchors and buttons
Procedure
For all script actions associated with `a`, `button`, or `input` elements:
1. In a user agent that supports Scripting
  * Click on the control with the mouse.
  * Check that the scripting action executes properly.
  * If the control is an anchor element, check that the URI in the `href` attribute of the anchor element is not invoked.
  * Check that it is possible to navigate to and give focus to the control via the keyboard.
  * Set keyboard focus to the control.
  * Check that pressing `ENTER` invokes the scripting action.
  * If the control is an anchor element, check that the URI in the `href` attribute of the anchor element is not invoked.
2. In a user agent that does not support Scripting
  * Click on the control with the mouse.
  * If the control is an anchor element, check that the URI in the `href` attribute of the anchor element is invoked.
  * Check that it is possible to navigate to and give focus to the control via the keyboard.
  * Set keyboard focus to the control.
  * If the control is an anchor element, check that pressing `ENTER` invokes the URI of the anchor element's `href` attribute.</t>
  </si>
  <si>
    <t>https://www.w3.org/WAI/WCAG22/Techniques/client-side-script/SCR35</t>
  </si>
  <si>
    <t>SCR2</t>
  </si>
  <si>
    <t>Using redundant keyboard and mouse event handlers
Procedure
1. Check that any functionality that is triggered by a mouse event handler can also be triggered from the keyboard by a corresponding keyboard event handler.</t>
  </si>
  <si>
    <t>https://www.w3.org/WAI/WCAG22/Techniques/client-side-script/SCR2</t>
  </si>
  <si>
    <t>F54</t>
  </si>
  <si>
    <t>Failure of Success Criterion 2.1.1 due to using only pointing-device-specific event handlers (including gesture) for a function
Procedure
1. Check to see whether pointing-device-specific event handlers are the only means to invoke scripting functions.
2. Check if the function being invoked requires input information about a specific path for a pointing device</t>
  </si>
  <si>
    <t>https://www.w3.org/WAI/WCAG22/Techniques/failures/F54</t>
  </si>
  <si>
    <t>F55</t>
  </si>
  <si>
    <t>Failure of Success Criteria 2.1.1, 2.4.7, 2.4.13, and 3.2.1 due to using script to remove focus when focus is received
Procedure
1. Use the keyboard to verify that you can get to all interactive elements using the keyboard.
2. Check that when focus is placed on each element, focus remains there until user moves it.</t>
  </si>
  <si>
    <t>https://www.w3.org/WAI/WCAG22/Techniques/failures/F55</t>
  </si>
  <si>
    <t>G21</t>
  </si>
  <si>
    <t>2.1.2</t>
  </si>
  <si>
    <t>No Keyboard Trap</t>
  </si>
  <si>
    <t>Ensuring that users are not trapped in content
Procedure
1. Use the keyboard to navigate through the content.
2. Check that the keyboard focus is never trapped in any part of the content where the user would be unable to continue navigating or is unable to read or interact with required information.</t>
  </si>
  <si>
    <t>https://www.w3.org/WAI/WCAG22/quickref/?showtechniques=121#no-keyboard-trap</t>
  </si>
  <si>
    <t>https://www.w3.org/WAI/WCAG22/Techniques/general/G21</t>
  </si>
  <si>
    <t>If keyboard focus can be moved to a component of the page using a keyboard interface, then focus can be moved away from that component using only a keyboard interface, and, if it requires more than unmodified arrow or tab keys or other standard exit methods, the user is advised of the method for moving focus away. Note: Since any content that does not meet this success criterion can interfere with a user's ability to use the whole page, all content on the web page (whether or not it is used to meet other success criteria) must meet this success criterion. See Conformance Requirement 5: Non-Interference.</t>
  </si>
  <si>
    <t>F10</t>
  </si>
  <si>
    <t>Failure of Success Criterion 2.1.2 and Conformance Requirement 5 due to combining multiple content formats in a way that traps users inside one format type
Procedure
1. Using a keyboard, navigate through the content.
2. Check to see that the keyboard focus is not "trapped" and it is possible to move keyboard focus out of the plug-in content without closing the user agent or restarting the system.</t>
  </si>
  <si>
    <t>https://www.w3.org/WAI/WCAG22/Techniques/failures/F10</t>
  </si>
  <si>
    <t>G217</t>
  </si>
  <si>
    <t>2.1.4</t>
  </si>
  <si>
    <t>Character Key Shortcuts</t>
  </si>
  <si>
    <t>Providing a mechanism to allow users to remap or turn off character key shortcuts
Procedure
1. Identify keyboard shortcuts in the content that use only letter, number, punctuation, or symbol characters.
2. Check if the content provides a mechanism to turn off or remap the shortcut.</t>
  </si>
  <si>
    <t>https://www.w3.org/WAI/WCAG22/quickref/?showtechniques=121#character-key-shortcuts</t>
  </si>
  <si>
    <t>https://www.w3.org/WAI/WCAG22/Techniques/general/G217</t>
  </si>
  <si>
    <t>If a keyboard shortcut is implemented in content using only letter (including upper- and lower-case letters), punctuation, number, or symbol characters, then at least one of the following is true: Turn off: A mechanism is available to turn the shortcut off; Remap: A mechanism is available to remap the shortcut to include one or more non-printable keyboard characters (e.g. Ctrl, Alt); Active only on focus: The keyboard shortcut for a user interface component is only active when that component has focus.</t>
  </si>
  <si>
    <t>F99</t>
  </si>
  <si>
    <t>Failure of Success Criterion 2.1.4 due to implementing character key shortcuts that cannot be turned off or remapped
Procedure
If the site does *not* provide settings to disable or remap keyboard shortcuts:
1. If loading the page sets focus to an input, click on an empty part of the page to ensure that no inputs are in focus.
2. Press keys identified by the author as shortcut keys, or if this information is not available, press all printing characters (i.e., all number, letter, sign and punctuation keys). Do not press non-printing modifier and control keys such as `Ctrl`, `Alt`, `Esc`, Arrow keys and (where present) the function keys `F1`-`F12`. Also exempt are `Space`, `Enter`, `Return`, `Tab`, and the `Delete` key.
3. Hold the `Shift` key and press the same keys again.
4. Check whether a function has been triggered by pressing the keys</t>
  </si>
  <si>
    <t>https://www.w3.org/WAI/WCAG22/Techniques/failures/F99</t>
  </si>
  <si>
    <t>G133</t>
  </si>
  <si>
    <t>Enough Time</t>
  </si>
  <si>
    <t>2.2</t>
  </si>
  <si>
    <t>2.2.1</t>
  </si>
  <si>
    <t>Timing Adjustable</t>
  </si>
  <si>
    <t>Providing a checkbox on the first page of a multipart form that allows users to ask for longer session time limit or no session time limit
Procedure
1. Check that a checkbox is available on the first page of the form that allows users to request a longer session time limit.
2. Check that the checkbox is clearly labeled.
3. Check that when the checkbox is selected, the session time limit is extended or removed.</t>
  </si>
  <si>
    <t>https://www.w3.org/WAI/WCAG22/quickref/?showtechniques=121#enough-time</t>
  </si>
  <si>
    <t>https://www.w3.org/WAI/WCAG22/quickref/?showtechniques=121#timing-adjustable</t>
  </si>
  <si>
    <t>https://www.w3.org/WAI/WCAG22/Techniques/general/G133</t>
  </si>
  <si>
    <t>For each time limit that is set by the content, at least one of the following is true: Turn off: The user is allowed to turn off the time limit before encountering it; Adjust: The user is allowed to adjust the time limit before encountering it over a wide range that is at least ten times the length of the default setting; Extend: The user is warned before time expires and given at least 20 seconds to extend the time limit with a simple action (for example, press the space bar), and the user is allowed to extend the time limit at least ten times; Real-time Exception: The time limit is a required part of a real-time event (for example, an auction), and no alternative to the time limit is possible; Essential Exception: The time limit is essential and extending it would invalidate the activity; 20 Hour Exception: The time limit is longer than 20 hours.</t>
  </si>
  <si>
    <t>G198</t>
  </si>
  <si>
    <t>Providing a way for the user to turn the time limit off
Procedure
1. Check that users are informed of the time limit before it is encountered.
2. Check that a mechanism is provided to turn off the time limit.
3. Check that the mechanism does not itself have a time limit.</t>
  </si>
  <si>
    <t>https://www.w3.org/WAI/WCAG22/Techniques/general/G198</t>
  </si>
  <si>
    <t>G180</t>
  </si>
  <si>
    <t>Providing the user with a means to set the time limit to 10 times the default time limit
Procedure
1. Check that users are informed of the time limit before it is encountered.
2. Check that a mechanism is provided to set the time limit to at least 10 times the default time limit.
3. Check that the mechanism can be used before the default time limit is reached.</t>
  </si>
  <si>
    <t>https://www.w3.org/WAI/WCAG22/Techniques/general/G180</t>
  </si>
  <si>
    <t>SCR16</t>
  </si>
  <si>
    <t>Providing a script that warns the user a time limit is about to expire
Procedure
1. Identify the time limits set by the content.
2. Check that a warning is provided to the user at least 20 seconds before each time limit expires.
3. Check that the user can extend the time limit by a simple action such as pressing a button.
4. Check that the user can extend the time limit at least 10 times.</t>
  </si>
  <si>
    <t>https://www.w3.org/WAI/WCAG22/Techniques/client-side-script/SCR16</t>
  </si>
  <si>
    <t>SCR1</t>
  </si>
  <si>
    <t>Allowing the user to extend the default time limit
Procedure
1. Determine the default time limit.
2. Check that a warning is provided before the time limit expires.
3. Check that a mechanism is provided to extend the time limit.
4. Check that the time limit can be extended at least 10 times the default.</t>
  </si>
  <si>
    <t>https://www.w3.org/WAI/WCAG22/Techniques/client-side-script/SCR1</t>
  </si>
  <si>
    <t>G4</t>
  </si>
  <si>
    <t>Allowing the content to be paused and restarted from where it was paused
Procedure
1. Check that a mechanism is provided to pause moving, blinking, scrolling, or auto-updating content.
2. Check that a mechanism is provided to restart the paused content.
3. Check that the content restarts from the point where it was paused.</t>
  </si>
  <si>
    <t>https://www.w3.org/WAI/WCAG22/Techniques/general/G4</t>
  </si>
  <si>
    <t>SCR33</t>
  </si>
  <si>
    <t>Using script to scroll content, and providing a mechanism to pause it
Procedure
1. Check that a mechanism is provided to pause the scrolling content.
2. Use the pause mechanism to pause the scrolling content.
3. Check that the scrolling has stopped and does not restart by itself.
4. Check that a mechanism is provided to restart the paused content.
5. Use the restart mechanism provided to restart the scrolling content.
6. Check that the scrolling has resumed from the point where it was stopped.</t>
  </si>
  <si>
    <t>https://www.w3.org/WAI/WCAG22/Techniques/client-side-script/SCR33</t>
  </si>
  <si>
    <t>SCR36</t>
  </si>
  <si>
    <t>Providing a mechanism to allow users to display moving, scrolling, or auto-updating text in a static window or area
Some web pages display scrolling text because there is limited space available. Scrolling the text in a small text window makes the content available for users who can read quickly enough, but causes problems for users who read more slowly or use assistive technology. This technique provides a mechanism to stop the movement and make the entire block of text available statically. The text may be made available in a separate window or in a (larger) section of the page. Users can then read the text at their own speed.
This technique does not apply when the text that is moving can not be displayed all at once on the screen (e.g., a long chat conversation).</t>
  </si>
  <si>
    <t>https://www.w3.org/WAI/WCAG22/Techniques/client-side-script/SCR36</t>
  </si>
  <si>
    <t>F40</t>
  </si>
  <si>
    <t>Failure due to using meta redirect with a time limit
Procedure
For a page that uses `meta http-equiv="refresh"`:
1. Check that the numerical value for seconds until refresh in the content attribute is present.
2. Check that the numerical value for seconds until refresh in the content attribute is less than one or greater than 72,000.
3. Check if the page qualifies for Real-time or Essential Exceptions in Success Criterion 2.2.1 Timing Adjustable.
4. Check if the user is provided an opportunity to turn off, extend, or adjust the timing of the page refresh.
5. Check if the page does not redirect after the duration specified in the content attribute.</t>
  </si>
  <si>
    <t>https://www.w3.org/WAI/WCAG22/Techniques/failures/F40</t>
  </si>
  <si>
    <t>F41</t>
  </si>
  <si>
    <t>Failure of Success Criterion 2.2.1, 2.2.4, and 3.2.5 due to using meta refresh to reload the page
Procedure
For a page that uses `meta http-equiv="refresh"`:
1. Check that the numerical value for seconds until refresh in the `content` attribute is present.
2. Check that the numerical value for seconds until refresh in the `content` attribute is less than `1` or greater than `72000`.
3. Check if the page qualifies for Real-time or Essential Exceptions in Success Criterion 2.2.1 Timing Adjustable.
4. Check if the user is provided an opportunity to turn off, extend, or adjust the timing of the page refresh.
5. Check if the page does not refresh after the duration specified in the `content` attribute.</t>
  </si>
  <si>
    <t>https://www.w3.org/WAI/WCAG22/Techniques/failures/F41</t>
  </si>
  <si>
    <t>F58</t>
  </si>
  <si>
    <t>Failure of Success Criterion 2.2.1 due to using server-side techniques to automatically redirect pages after a time-out
Procedure
1. Check to see if the web page automatically redirects to another page after some period of time without the user taking any action.
2. Check if the page qualifies for Real-time or Essential Exceptions in Success Criterion 2.2.1 Timing Adjustable.
3. Check if the user is provided an opportunity to turn off, extend, or adjust the timing of the page refresh.</t>
  </si>
  <si>
    <t>https://www.w3.org/WAI/WCAG22/Techniques/failures/F58</t>
  </si>
  <si>
    <t>2.2.2</t>
  </si>
  <si>
    <t>Pause, Stop, Hide</t>
  </si>
  <si>
    <t>https://www.w3.org/WAI/WCAG22/quickref/?showtechniques=121#pause-stop-hide</t>
  </si>
  <si>
    <t>For moving, blinking, scrolling, or auto-updating information, all of the following are true: Moving, blinking, scrolling: For any moving, blinking or scrolling information that (1) starts automatically, (2) lasts more than five seconds, and (3) is presented in parallel with other content, there is a mechanism for the user to pause, stop, or hide it unless the movement, blinking, or scrolling is part of an activity where it is essential; Auto-updating: For any auto-updating information that (1) starts automatically and (2) is presented in parallel with other content, there is a mechanism for the user to pause, stop, or hide it or to control the frequency of the update unless the auto-updating is part of an activity where it is essential.</t>
  </si>
  <si>
    <t>G11</t>
  </si>
  <si>
    <t>Creating content that blinks for less than 5 seconds
Procedure
1. Identify blinking content on the page.
2. Measure the duration of the blinking.
3. Check that the blinking stops after less than 5 seconds.</t>
  </si>
  <si>
    <t>https://www.w3.org/WAI/WCAG22/Techniques/general/G11</t>
  </si>
  <si>
    <t>G152</t>
  </si>
  <si>
    <t>Setting animated gif images to stop blinking after n cycles (within 5 seconds)
Procedure
1. Identify animated GIFs on the page that include blinking.
2. Check the number of loops configured for the GIF.
3. Check that the total duration of the blinking is less than 5 seconds.</t>
  </si>
  <si>
    <t>https://www.w3.org/WAI/WCAG22/Techniques/general/G152</t>
  </si>
  <si>
    <t>SCR22</t>
  </si>
  <si>
    <t>Using scripts to control blinking and stop it in five seconds or less
Procedure
For each instance of blinking content:
1. Start a timer for 5 seconds at the start of the blink effect.
2. When the timer expires, determine if the blinking has stopped.</t>
  </si>
  <si>
    <t>https://www.w3.org/WAI/WCAG22/Techniques/client-side-script/SCR22</t>
  </si>
  <si>
    <t>G186</t>
  </si>
  <si>
    <t>Using a control in the Web page that stops moving, blinking, or auto-updating content
Procedure
1. Check that a control is provided that allows users to stop moving, blinking, or auto-updating content.
2. Check that the control is easy to find and operate.
3. Activate the control and check that the moving, blinking, or auto-updating content stops.</t>
  </si>
  <si>
    <t>https://www.w3.org/WAI/WCAG22/Techniques/general/G186</t>
  </si>
  <si>
    <t>G191</t>
  </si>
  <si>
    <t>Providing a link, button, or other mechanism that reloads the page without any blinking content
Procedure
1. Check that a mechanism is provided that allows users to reload the page without blinking content.
2. Activate the mechanism and check that the page is reloaded without the blinking content.</t>
  </si>
  <si>
    <t>https://www.w3.org/WAI/WCAG22/Techniques/general/G191</t>
  </si>
  <si>
    <t>F16</t>
  </si>
  <si>
    <t>Failure of Success Criterion 2.2.2 due to including scrolling content where movement is not essential to the activity without also including a mechanism to pause and restart the content
Procedure
On a page with moving or scrolling content,
1. Check that a mechanism is provided in the web page or user agent to pause moving or scrolling content.
2. Use the pause mechanism to pause the moving or scrolling content.
3. Check that the moving or scrolling has stopped and does not restart by itself.
4. Check that a mechanism is provided in the web page or user agent to restart the paused content.
5. Use the restart mechanism provided to restart the moving content.
6. Check that the movement or scrolling has resumed from the point where it was stopped.</t>
  </si>
  <si>
    <t>https://www.w3.org/WAI/WCAG22/Techniques/failures/F16</t>
  </si>
  <si>
    <t>F112</t>
  </si>
  <si>
    <t>Failure of Success Criterion 2.2.2 due to using blinking content that lasts for more than five seconds without a mechanism to stop it
Procedure
1. Examine the page for the presence of blinking content that starts automatically, is presented in parallel with other content, and lasts for more than five seconds.
2. If such content is present, check there is a method to stop the blinking.</t>
  </si>
  <si>
    <t>https://www.w3.org/WAI/WCAG22/Techniques/failures/F112</t>
  </si>
  <si>
    <t>F50</t>
  </si>
  <si>
    <t>Failure of Success Criterion 2.2.2 due to a script that causes a blink effect without a mechanism to stop the blinking at 5 seconds or less
Procedure
For each instance of blinking content:
1. Determine if the blinking stops in 5 seconds or less.</t>
  </si>
  <si>
    <t>https://www.w3.org/WAI/WCAG22/Techniques/failures/F50</t>
  </si>
  <si>
    <t>F7</t>
  </si>
  <si>
    <t>Failure of Success Criterion 2.2.2 due to an object or applet that has blinking content without a mechanism to pause the content that blinks for more than five seconds
Procedure
For each page that has blinking content in a plugin or applet:
1. Determine if the content continues to blink for longer than 5 seconds.
2. Determine if there is a means to pause the blinking content.</t>
  </si>
  <si>
    <t>https://www.w3.org/WAI/WCAG22/Techniques/failures/F7</t>
  </si>
  <si>
    <t>G19</t>
  </si>
  <si>
    <t>Seizures and Physical Reactions</t>
  </si>
  <si>
    <t>2.3</t>
  </si>
  <si>
    <t>2.3.1</t>
  </si>
  <si>
    <t>Three Flashes or Below Threshold</t>
  </si>
  <si>
    <t>Ensuring that no component of the content flashes more than three times in any 1-second period
Procedure
1. Identify components of the content that flash.
2. Measure the rate of flashing.
3. Check that no component flashes more than three times in any one-second period.</t>
  </si>
  <si>
    <t>https://www.w3.org/WAI/WCAG22/quickref/?showtechniques=121#seizures-and-physical-reactions</t>
  </si>
  <si>
    <t>https://www.w3.org/WAI/WCAG22/quickref/?showtechniques=121#three-flashes-or-below-threshold</t>
  </si>
  <si>
    <t>https://www.w3.org/WAI/WCAG22/Techniques/general/G19</t>
  </si>
  <si>
    <t>Web pages do not contain anything that flashes more than three times in any one second period, or the flash is below the general flash and red flash thresholds.</t>
  </si>
  <si>
    <t>G176</t>
  </si>
  <si>
    <t>Keeping the flashing area small enough
Procedure
1. Identify components of the content that flash.
2. Measure the size of the flashing area.
3. Check that the flashing area does not exceed 25% of any 10-degree visual field.</t>
  </si>
  <si>
    <t>https://www.w3.org/WAI/WCAG22/Techniques/general/G176</t>
  </si>
  <si>
    <t>G15</t>
  </si>
  <si>
    <t>Using a tool to ensure that content does not violate the general flash threshold or red flash threshold
Procedure
1. Select a tool that can test content against the general flash threshold and red flash threshold.
2. Use the tool to analyze the content.
3. Check that the content does not exceed either threshold.</t>
  </si>
  <si>
    <t>https://www.w3.org/WAI/WCAG22/Techniques/general/G15</t>
  </si>
  <si>
    <t>G1</t>
  </si>
  <si>
    <t>Navigable</t>
  </si>
  <si>
    <t>2.4</t>
  </si>
  <si>
    <t>2.4.1</t>
  </si>
  <si>
    <t>Bypass Blocks</t>
  </si>
  <si>
    <t>Adding a link at the top of each page that goes directly to the main content area
Procedure
1. Check that a link is provided at the top of the page that goes to the main content area.
2. Check that the link is the first focusable element or among the first.
3. Check that activating the link moves focus to the main content area.</t>
  </si>
  <si>
    <t>https://www.w3.org/WAI/WCAG22/quickref/?showtechniques=121#navigable</t>
  </si>
  <si>
    <t>https://www.w3.org/WAI/WCAG22/quickref/?showtechniques=121#bypass-blocks</t>
  </si>
  <si>
    <t>https://www.w3.org/WAI/WCAG22/Techniques/general/G1</t>
  </si>
  <si>
    <t>A mechanism is available to bypass blocks of content that are repeated on multiple web pages.</t>
  </si>
  <si>
    <t>G123</t>
  </si>
  <si>
    <t>Adding a link at the beginning of a block of repeated content to go to the end of the block
Procedure
1. Identify blocks of repeated content on the page.
2. Check that a link is provided at the beginning of each block to go to the end of the block.
3. Activate the link and check that focus moves to the element immediately following the block.</t>
  </si>
  <si>
    <t>https://www.w3.org/WAI/WCAG22/Techniques/general/G123</t>
  </si>
  <si>
    <t>G124</t>
  </si>
  <si>
    <t>Adding links at the top of the page to each area of the content
Procedure
1. Check that links are provided at the top of the page to each major area of content.
2. Check that each link is clearly labeled.
3. Activate each link and check that focus moves to the corresponding area of content.</t>
  </si>
  <si>
    <t>https://www.w3.org/WAI/WCAG22/Techniques/general/G124</t>
  </si>
  <si>
    <t>H69</t>
  </si>
  <si>
    <t>Providing heading elements at the beginning of each section of content
Procedure
1. Identify sections of content on the page.
2. Check that each section begins with an appropriate heading element (h1-h6).
3. Check that the heading levels reflect the hierarchical structure of the content.</t>
  </si>
  <si>
    <t>https://www.w3.org/WAI/WCAG22/Techniques/html/H69</t>
  </si>
  <si>
    <t>H64</t>
  </si>
  <si>
    <t>Using the title attribute of the iframe element
Procedure
1. Check each `iframe` element in the HTML source code for the presence of a `title` attribute.
2. Check that the `title` attribute contains text that describes the `iframe`'s content.</t>
  </si>
  <si>
    <t>https://www.w3.org/WAI/WCAG22/Techniques/html/H64</t>
  </si>
  <si>
    <t>SCR28</t>
  </si>
  <si>
    <t>Using an expandable and collapsible menu to bypass block of content
Procedure
1. Check that some user interface control allows the repeated content to be expanded or collapsed.
2. Check that when the content is expanded, it is included in the programmatically determined content at a logical place in the reading order.
3. Check that when the content is collapsed, it is not part of the programmatically determined content.</t>
  </si>
  <si>
    <t>https://www.w3.org/WAI/WCAG22/Techniques/client-side-script/SCR28</t>
  </si>
  <si>
    <t>G88</t>
  </si>
  <si>
    <t>2.4.2</t>
  </si>
  <si>
    <t>Page Titled</t>
  </si>
  <si>
    <t>Providing descriptive titles for Web pages
Procedure
1. Check that the page has a title.
2. Check that the title describes the topic or purpose of the page.
3. Check that the title is unique within the site.</t>
  </si>
  <si>
    <t>https://www.w3.org/WAI/WCAG22/quickref/?showtechniques=121#page-titled</t>
  </si>
  <si>
    <t>https://www.w3.org/WAI/WCAG22/Techniques/general/G88</t>
  </si>
  <si>
    <t>Web pages have titles that describe topic or purpose.</t>
  </si>
  <si>
    <t>H25</t>
  </si>
  <si>
    <t>Providing a title using the title element
Procedure
1. Check that the HTML document has a `title` element in the `head` section.
2. Check that the `title` describes the topic or purpose of the document.
3. Check that the `title` is unique within the site.</t>
  </si>
  <si>
    <t>https://www.w3.org/WAI/WCAG22/Techniques/html/H25</t>
  </si>
  <si>
    <t>PDF18</t>
  </si>
  <si>
    <t>Specifying the document title using the /Title entry in the document information dictionary of a PDF document
Procedure
1. Open the PDF document in Adobe Acrobat Pro.
2. Go to File &gt; Properties.
3. Check that a descriptive title is specified in the Title field.
4. Check that the document is configured to display the document title instead of the filename in the title bar.</t>
  </si>
  <si>
    <t>https://www.w3.org/WAI/WCAG22/Techniques/pdf/PDF18</t>
  </si>
  <si>
    <t>F25</t>
  </si>
  <si>
    <t>Failure of Success Criterion 2.4.2 due to the title of a web page not identifying the contents
Procedure
1. Check whether the title of each web page identifies the contents or purpose of the web page.</t>
  </si>
  <si>
    <t>https://www.w3.org/WAI/WCAG22/Techniques/failures/F25</t>
  </si>
  <si>
    <t>G59</t>
  </si>
  <si>
    <t>2.4.3</t>
  </si>
  <si>
    <t>Focus Order</t>
  </si>
  <si>
    <t>Placing the interactive elements in an order that follows sequences and relationships within the content
Procedure
1. Navigate the page using the keyboard.
2. Check that the order in which interactive elements receive focus follows the sequences and relationships within the content.</t>
  </si>
  <si>
    <t>https://www.w3.org/WAI/WCAG22/quickref/?showtechniques=121#focus-order</t>
  </si>
  <si>
    <t>https://www.w3.org/WAI/WCAG22/Techniques/general/G59</t>
  </si>
  <si>
    <t>If a web page can be navigated sequentially and the navigation sequences affect meaning or operation, focusable components receive focus in an order that preserves meaning and operability.</t>
  </si>
  <si>
    <t>SCR26</t>
  </si>
  <si>
    <t>Inserting dynamic content into the Document Object Model immediately following its trigger element
Procedure
1. Find all areas of the page that trigger dialogs that are not pop-up windows.
2. Check that the dialogs are triggered from the click event of a button or a link.
3. Using a tool that allows you to inspect the DOM generated by script, check that the dialog is next in the DOM.</t>
  </si>
  <si>
    <t>https://www.w3.org/WAI/WCAG22/Techniques/client-side-script/SCR26</t>
  </si>
  <si>
    <t>H102</t>
  </si>
  <si>
    <t>Using Caret Browsing to test tab order and focus
Procedure
1. Enable caret browsing mode in the web browser.
2. Navigate through the page using the arrow keys.
3. Check that the caret moves through the content in an order that follows the visual and logical order of the content.</t>
  </si>
  <si>
    <t>https://www.w3.org/WAI/WCAG22/Techniques/html/H102</t>
  </si>
  <si>
    <t>SCR27</t>
  </si>
  <si>
    <t>Reordering page sections using the Document Object Model
Procedure
1. Find all components which can be reordered via drag and drop.
2. Check that there is also a mechanism to reorder them using menus build of lists of links.
3. Check that the menus are contained within the re-orderable items in the DOM.
4. Check that scripts for reordering are triggered only from the onclick event of links.
5. Check that items are reordered in the DOM, not only visually.</t>
  </si>
  <si>
    <t>https://www.w3.org/WAI/WCAG22/Techniques/client-side-script/SCR27</t>
  </si>
  <si>
    <t>F44</t>
  </si>
  <si>
    <t>Failure of Success Criterion 2.4.3 due to using tabindex to create a tab order that does not preserve meaning and operability
Procedure
1. If tabindex is used, check that the tab order specified by the tabindex attributes follows relationships in the content.</t>
  </si>
  <si>
    <t>https://www.w3.org/WAI/WCAG22/Techniques/failures/F44</t>
  </si>
  <si>
    <t>F85</t>
  </si>
  <si>
    <t>Failure of Success Criterion 2.4.3 due to using dialogs or menus that are not adjacent to their trigger control in the sequential navigation order
Procedure
For each menu or dialog on a web page that is opened via a trigger control:
1. Activate the trigger control via the keyboard.
  * Check whether focus has been set to the menu, dialog, or a logical focusable descendent of the widget.
  * If not, check whether moving the focus forward once in the sequential navigation order puts focus in the menu or dialog.
2. Dismiss the menu or dialog
  * Check whether focus is on the trigger control.
  * If focus needs to be placed on a different control, check whether that different control is logical.</t>
  </si>
  <si>
    <t>https://www.w3.org/WAI/WCAG22/Techniques/failures/F85</t>
  </si>
  <si>
    <t>G91</t>
  </si>
  <si>
    <t>2.4.4</t>
  </si>
  <si>
    <t>Link Purpose (In Context)</t>
  </si>
  <si>
    <t>Providing link text that describes the purpose of a link
Procedure
1. Check that the link text describes the purpose of the link.
2. Check that the link text makes sense when read out of context.</t>
  </si>
  <si>
    <t>https://www.w3.org/WAI/WCAG22/quickref/?showtechniques=121#link-purpose-in-context</t>
  </si>
  <si>
    <t>https://www.w3.org/WAI/WCAG22/Techniques/general/G91</t>
  </si>
  <si>
    <t>The purpose of each link can be determined from the link text alone or from the link text together with its programmatically determined link context, except where the purpose of the link would be ambiguous to users in general.</t>
  </si>
  <si>
    <t>Providing link text that describes the purpose of a link for anchor elements
Procedure
1. Check that the content of each `a` element describes the purpose of the link.
2. Check that the link text makes sense when read out of context.</t>
  </si>
  <si>
    <t>Providing text alternatives for the area elements of image maps
Procedure
1. Identify all `area` elements within `map` elements.
2. Check that each `area` element has an `alt` attribute.
3. Check that the `alt` text describes the purpose of the link represented by the `area`.</t>
  </si>
  <si>
    <t>G189</t>
  </si>
  <si>
    <t>Providing a control near the beginning of the Web page that changes the link text
Procedure
1. Check that a control is provided near the beginning of the page that changes the link text.
2. Activate the control and check that the link text becomes more descriptive.</t>
  </si>
  <si>
    <t>https://www.w3.org/WAI/WCAG22/Techniques/general/G189</t>
  </si>
  <si>
    <t>SCR30</t>
  </si>
  <si>
    <t>Using scripts to change the link text
Procedure
1. Check that there is a link near the beginning of the page to expand links
2. Check that the link identified in step 1 can be identified from link text alone
3. Find any links on the page that cannot be identified from link text alone
4. Activate the control identified in step 1
5. Check that the purpose of the links identified in step 3 can now be identified from link text alone</t>
  </si>
  <si>
    <t>https://www.w3.org/WAI/WCAG22/Techniques/client-side-script/SCR30</t>
  </si>
  <si>
    <t>G53</t>
  </si>
  <si>
    <t>Identifying the purpose of a link using link text combined with the text of the enclosing sentence
Procedure
1. Identify links on the page where the purpose is not clear from the link text alone.
2. Check that the purpose of each such link is clear when the link text is combined with the text of the enclosing sentence.</t>
  </si>
  <si>
    <t>https://www.w3.org/WAI/WCAG22/Techniques/general/G53</t>
  </si>
  <si>
    <t>H33</t>
  </si>
  <si>
    <t>Supplementing link text with the title attribute
Procedure
1. Check that the `title` attribute is present on `a` elements where additional information is provided.
2. Check that the `title` attribute value describes the purpose of the link.</t>
  </si>
  <si>
    <t>https://www.w3.org/WAI/WCAG22/Techniques/html/H33</t>
  </si>
  <si>
    <t>C7</t>
  </si>
  <si>
    <t>Using CSS to hide a portion of the link text
Procedure
1. Identify link text that includes hidden portions.
2. Check that the hidden portions are exposed to assistive technologies.
3. Check that the combined visible and hidden text describes the purpose of the link.</t>
  </si>
  <si>
    <t>https://www.w3.org/WAI/WCAG22/Techniques/css/C7</t>
  </si>
  <si>
    <t>ARIA7</t>
  </si>
  <si>
    <t>Using aria-labelledby for link purpose
Procedure
1. Identify links that use `aria-labelledby`.
2. Check that the `aria-labelledby` attribute references one or more valid IDs of elements on the page.
3. Check that the combined text of the referenced elements describes the purpose of the link.</t>
  </si>
  <si>
    <t>https://www.w3.org/WAI/WCAG22/Techniques/aria/ARIA7</t>
  </si>
  <si>
    <t>ARIA8</t>
  </si>
  <si>
    <t>Using aria-label for link purpose
Procedure
1. Identify links that use `aria-label`.
2. Check that the `aria-label` attribute value describes the purpose of the link.</t>
  </si>
  <si>
    <t>https://www.w3.org/WAI/WCAG22/Techniques/aria/ARIA8</t>
  </si>
  <si>
    <t>H77</t>
  </si>
  <si>
    <t>Identifying the purpose of a link using link text combined with its enclosing list item
Procedure
1. Identify links within list items.
2. Check that the purpose of each link is clear when the link text is combined with the text of the enclosing list item.</t>
  </si>
  <si>
    <t>https://www.w3.org/WAI/WCAG22/Techniques/html/H77</t>
  </si>
  <si>
    <t>H78</t>
  </si>
  <si>
    <t>Identifying the purpose of a link using link text combined with its enclosing paragraph
Procedure
1. Identify links within paragraphs.
2. Check that the purpose of each link is clear when the link text is combined with the text of the enclosing paragraph.</t>
  </si>
  <si>
    <t>https://www.w3.org/WAI/WCAG22/Techniques/html/H78</t>
  </si>
  <si>
    <t>H79</t>
  </si>
  <si>
    <t>Identifying the purpose of a link in a data table using the link text combined with its enclosing table cell and associated table header cells
Procedure
1. Identify links within data tables.
2. Check that the purpose of each link is clear when the link text is combined with the text of the enclosing table cell and its associated table header cells.</t>
  </si>
  <si>
    <t>https://www.w3.org/WAI/WCAG22/Techniques/html/H79</t>
  </si>
  <si>
    <t>H81</t>
  </si>
  <si>
    <t>Identifying the purpose of a link in a nested list using link text combined with the parent list item under which the list is nested
Procedure
1. Identify links within nested lists.
2. Check that the purpose of each link is clear when the link text is combined with the text of the parent list item under which the list is nested.</t>
  </si>
  <si>
    <t>https://www.w3.org/WAI/WCAG22/Techniques/html/H81</t>
  </si>
  <si>
    <t>PDF13</t>
  </si>
  <si>
    <t>Providing replacement text using the /Alt entry for links in PDF documents
Procedure
1. Open the PDF document in Adobe Acrobat Pro.
2. Identify links in the document.
3. Check that each link has an /Alt entry that describes the purpose of the link.</t>
  </si>
  <si>
    <t>https://www.w3.org/WAI/WCAG22/Techniques/pdf/PDF13</t>
  </si>
  <si>
    <t>F63</t>
  </si>
  <si>
    <t>Failure of Success Criterion 2.4.4 due to providing link context only in content that is not related to the link
Procedure
Locate links where some additional link context is needed to understand the purpose of the link. For each link:
1. Check whether the context is contained in the same sentence, paragraph, list item, table cell, or associated table headers.
2. Check whether the link context can be programmatically determined in some other way, for example, by using a WAI-ARIA property such as `aria-label`, `aria-labelledby` or `aria-describedby` on the link to provide sufficient context</t>
  </si>
  <si>
    <t>https://www.w3.org/WAI/WCAG22/Techniques/failures/F63</t>
  </si>
  <si>
    <t>F89</t>
  </si>
  <si>
    <t>Failure of Success Criteria 2.4.4, 2.4.9 and 4.1.2 due to not providing an accessible name for an image which is the only content in a link
Procedure
1. Check whether the link contains only non-text content.
2. Check whether the non-text content has been implemented in a way that it can be ignored by assistive technologies, such as using `role="presentation"` or `alt=""`
   .
3. Check that the link does not have an accessible name provided in another way such as `aria-label` or `aria-labelledby`.</t>
  </si>
  <si>
    <t>https://www.w3.org/WAI/WCAG22/Techniques/failures/F89</t>
  </si>
  <si>
    <t>G125</t>
  </si>
  <si>
    <t>2.4.5</t>
  </si>
  <si>
    <t>Multiple Ways</t>
  </si>
  <si>
    <t>Providing links to navigate to related Web pages
Procedure
1. Check that the page has links to navigate to related web pages.
2. Check that the links are clearly labeled.</t>
  </si>
  <si>
    <t>https://www.w3.org/WAI/WCAG22/quickref/?showtechniques=121#multiple-ways</t>
  </si>
  <si>
    <t>https://www.w3.org/WAI/WCAG22/Techniques/general/G125</t>
  </si>
  <si>
    <t>More than one way is available to locate a web page within a set of web pages except where the web page is the result of, or a step in, a process.</t>
  </si>
  <si>
    <t>G64</t>
  </si>
  <si>
    <t>Providing a Table of Contents
Procedure
1. Check that a table of contents is provided.
2. Check that the table of contents includes links to each major section of the content.
3. Check that the table of contents is organized hierarchically.</t>
  </si>
  <si>
    <t>https://www.w3.org/WAI/WCAG22/Techniques/general/G64</t>
  </si>
  <si>
    <t>G63</t>
  </si>
  <si>
    <t>Providing a site map
Procedure
1. Check that a site map is provided.
2. Check that the site map includes links to all major pages in the site.
3. Check that the site map is accessible from every page of the site.</t>
  </si>
  <si>
    <t>https://www.w3.org/WAI/WCAG22/Techniques/general/G63</t>
  </si>
  <si>
    <t>G161</t>
  </si>
  <si>
    <t>Providing a search function to help users find content
Procedure
1. Check that a search function is provided.
2. Check that the search function is accessible from multiple pages within the site.
3. Check that the search function returns relevant results.</t>
  </si>
  <si>
    <t>https://www.w3.org/WAI/WCAG22/Techniques/general/G161</t>
  </si>
  <si>
    <t>G126</t>
  </si>
  <si>
    <t>Providing a list of links to all other Web pages
Procedure
1. Check that a list of links to all other web pages is provided.
2. Check that the list is organized in a way that makes it easy to find specific pages.</t>
  </si>
  <si>
    <t>https://www.w3.org/WAI/WCAG22/Techniques/general/G126</t>
  </si>
  <si>
    <t>G185</t>
  </si>
  <si>
    <t>Linking to all of the pages on the site from the home page
Procedure
1. Check that the home page contains links to all of the pages on the site.</t>
  </si>
  <si>
    <t>https://www.w3.org/WAI/WCAG22/Techniques/general/G185</t>
  </si>
  <si>
    <t>G130</t>
  </si>
  <si>
    <t>2.4.6</t>
  </si>
  <si>
    <t>Headings and Labels</t>
  </si>
  <si>
    <t>Providing descriptive headings
Procedure
1. Identify headings in the page.
2. Check that each heading describes the content of the section it introduces.</t>
  </si>
  <si>
    <t>https://www.w3.org/WAI/WCAG22/quickref/?showtechniques=121#headings-and-labels</t>
  </si>
  <si>
    <t>https://www.w3.org/WAI/WCAG22/Techniques/general/G130</t>
  </si>
  <si>
    <t>Headings and labels describe topic or purpose.</t>
  </si>
  <si>
    <t>G131</t>
  </si>
  <si>
    <t>Providing descriptive labels
Procedure
For each interface component with a label:
1. Identify the purpose of the interface component.
2. Check that each label makes the component's purpose clear.</t>
  </si>
  <si>
    <t>https://www.w3.org/WAI/WCAG22/Techniques/general/G131</t>
  </si>
  <si>
    <t>G149</t>
  </si>
  <si>
    <t>2.4.7</t>
  </si>
  <si>
    <t>Focus Visible</t>
  </si>
  <si>
    <t>Using user interface components that are highlighted by the user agent when they receive focus
Procedure
1. Identify user interface components on the page.
2. Check that standard HTML components are used where possible.
3. Check that the default focus indicator provided by the user agent is not overridden in a way that removes or obscures it.</t>
  </si>
  <si>
    <t>https://www.w3.org/WAI/WCAG22/quickref/?showtechniques=121#focus-visible</t>
  </si>
  <si>
    <t>https://www.w3.org/WAI/WCAG22/Techniques/general/G149</t>
  </si>
  <si>
    <t>Any keyboard operable user interface has a mode of operation where the keyboard focus indicator is visible.</t>
  </si>
  <si>
    <t>C15</t>
  </si>
  <si>
    <t>Using CSS to change the presentation of a user interface component when it receives focus
Procedure
1. Identify interactive user interface components.
2. Check that the CSS `:focus` pseudo-class is used to change the presentation of the component when it receives focus.
3. Check that the change in presentation is clearly visible.</t>
  </si>
  <si>
    <t>https://www.w3.org/WAI/WCAG22/Techniques/css/C15</t>
  </si>
  <si>
    <t>G165</t>
  </si>
  <si>
    <t>Using the default focus indicator for the platform so that high visibility default focus indicators will carry over
Procedure
1. Check that the page uses the default focus indicator provided by the platform.
2. Check that the focus indicator is not overridden by CSS or other styling.</t>
  </si>
  <si>
    <t>https://www.w3.org/WAI/WCAG22/Techniques/general/G165</t>
  </si>
  <si>
    <t>C40</t>
  </si>
  <si>
    <t>Creating a two-color focus indicator to ensure sufficient contrast with all components
Procedure
1. Check that the focus indicator uses two colors.
2. Check that the combination of colors provides sufficient contrast against all components and backgrounds.</t>
  </si>
  <si>
    <t>https://www.w3.org/WAI/WCAG22/Techniques/css/C40</t>
  </si>
  <si>
    <t>C45</t>
  </si>
  <si>
    <t>Using CSS to change the presentation of user interface component when user preference is high contrast
Procedure
1. Check that CSS media query `prefers-contrast` is used to detect high contrast preferences.
2. Check that the CSS rules adjust the presentation of user interface components appropriately when high contrast is preferred.</t>
  </si>
  <si>
    <t>https://www.w3.org/WAI/WCAG22/Techniques/css/C45</t>
  </si>
  <si>
    <t>SCR31</t>
  </si>
  <si>
    <t>Using script to change the background color or border of the element with focus
Procedure
1. Tab to each element in the page
2. Check that the focus indicator is visible</t>
  </si>
  <si>
    <t>https://www.w3.org/WAI/WCAG22/Techniques/client-side-script/SCR31</t>
  </si>
  <si>
    <t>G215</t>
  </si>
  <si>
    <t>Input Modalities</t>
  </si>
  <si>
    <t>2.5</t>
  </si>
  <si>
    <t>2.5.1</t>
  </si>
  <si>
    <t>Pointer Gestures</t>
  </si>
  <si>
    <t>Providing controls to achieve the same result as path based or multipoint gestures
Procedure
1. Identify path-based or multipoint gestures in the content.
2. Check that conventional controls are available to achieve the same result.</t>
  </si>
  <si>
    <t>https://www.w3.org/WAI/WCAG22/quickref/?showtechniques=121#input-modalities</t>
  </si>
  <si>
    <t>https://www.w3.org/WAI/WCAG22/quickref/?showtechniques=121#pointer-gestures</t>
  </si>
  <si>
    <t>https://www.w3.org/WAI/WCAG22/Techniques/general/G215</t>
  </si>
  <si>
    <t>All functionality that uses multipoint or path-based gestures for operation can be operated with a single pointer without a path-based gesture, unless a multipoint or path-based gesture is essential.</t>
  </si>
  <si>
    <t>G216</t>
  </si>
  <si>
    <t>Providing single point activation for a control slider
Procedure
1. Identify slider controls in the content.
2. Check that the slider can be operated by tapping or clicking on specific points along the track.</t>
  </si>
  <si>
    <t>https://www.w3.org/WAI/WCAG22/Techniques/general/G216</t>
  </si>
  <si>
    <t>F105</t>
  </si>
  <si>
    <t>Failure of Success Criterion 2.5.1 due to providing functionality via a path-based gesture without simple pointer alternative
Procedure
For each part of the content that implements a function that can be activated by a path-based gesture:
1. Check that controls are available through which the same function can be carried out via simple taps or clicks.</t>
  </si>
  <si>
    <t>https://www.w3.org/WAI/WCAG22/Techniques/failures/F105</t>
  </si>
  <si>
    <t>G210</t>
  </si>
  <si>
    <t>2.5.2</t>
  </si>
  <si>
    <t>Pointer Cancellation</t>
  </si>
  <si>
    <t>Ensuring that drag-and-drop actions can be cancelled
Procedure
1. Identify drag-and-drop actions in the content.
2. Check that a mechanism is provided to cancel the drag-and-drop action.
3. Verify that cancelling the action prevents any changes from being made.</t>
  </si>
  <si>
    <t>https://www.w3.org/WAI/WCAG22/quickref/?showtechniques=121#pointer-cancellation</t>
  </si>
  <si>
    <t>https://www.w3.org/WAI/WCAG22/Techniques/general/G210</t>
  </si>
  <si>
    <t>For functionality that can be operated using a single pointer, at least one of the following is true: No Down-Event: The down-event of the pointer is not used to execute any part of the function; Abort or Undo: Completion of the function is on the up-event, and a mechanism is available to abort the function before completion or to undo the function after completion; Up Reversal: The up-event reverses any outcome of the preceding down-event; Essential: Completing the function on the down-event is essential.</t>
  </si>
  <si>
    <t>G212</t>
  </si>
  <si>
    <t>Using native controls to ensure functionality is triggered on the up-event
Procedure
1. Identify controls in the content.
2. Check that native controls are used where possible.
3. Verify that the functionality is triggered on the up-event.</t>
  </si>
  <si>
    <t>https://www.w3.org/WAI/WCAG22/Techniques/general/G212</t>
  </si>
  <si>
    <t>F101</t>
  </si>
  <si>
    <t>Failure of Success Criterion 2.5.2 due to activating a control on the down-event
Procedure
Open the content on a device with pointer inputs (mouse, touchscreen, stylus) and for all available controls (buttons, links, complex widgets):
1. Trigger down-events (e.g. by pressing but not releasing the mouse button, or placing a finger or stylus on the touchscreen) and check if functionality is executed prior to the up-event (e.g. releasing the mouse button or lifting the finger/stylus)
2. If functionality was executed on the down-event, check if triggering the up-event (releasing the pressed mouse button, or lifting the finger or stylus from the touchscreen) reverses the outcome
3. Evaluate if it could be deemed essential for the controls to execute and complete functionality on the down-event</t>
  </si>
  <si>
    <t>https://www.w3.org/WAI/WCAG22/Techniques/failures/F101</t>
  </si>
  <si>
    <t>G208</t>
  </si>
  <si>
    <t>2.5.3</t>
  </si>
  <si>
    <t>Label in Name</t>
  </si>
  <si>
    <t>Including the text of the visible label as part of the accessible name
Procedure
1. Identify user interface components with visible labels.
2. Check that the accessible name of each component includes the text of the visible label.</t>
  </si>
  <si>
    <t>https://www.w3.org/WAI/WCAG22/quickref/?showtechniques=121#label-in-name</t>
  </si>
  <si>
    <t>https://www.w3.org/WAI/WCAG22/Techniques/general/G208</t>
  </si>
  <si>
    <t>For user interface components with labels that include text or images of text, the name contains the text that is presented visually.</t>
  </si>
  <si>
    <t>G211</t>
  </si>
  <si>
    <t>Matching the accessible name to the visible label
Procedure
1. Identify user interface components with visible labels.
2. Check that the accessible name of each component matches the visible label exactly.</t>
  </si>
  <si>
    <t>https://www.w3.org/WAI/WCAG22/Techniques/general/G211</t>
  </si>
  <si>
    <t>F96</t>
  </si>
  <si>
    <t>Failure due to the accessible name not containing the visible label text
Procedure
For all controls with a visible label (e.g., link text, button text, programmatically linked label, images in links with text), check that:
1. The accessible name is the same as the visible label.
2. The accessible name contains a match for the string of the visible label.</t>
  </si>
  <si>
    <t>https://www.w3.org/WAI/WCAG22/Techniques/failures/F96</t>
  </si>
  <si>
    <t>G213</t>
  </si>
  <si>
    <t>2.5.4</t>
  </si>
  <si>
    <t>Motion Actuation</t>
  </si>
  <si>
    <t>Provide conventional controls and an application setting for motion activated input
Procedure
1. Identify functionality that is activated by motion.
2. Check that conventional controls are provided to activate the same functionality.
3. Check that an application setting is provided to disable motion activation.</t>
  </si>
  <si>
    <t>https://www.w3.org/WAI/WCAG22/quickref/?showtechniques=121#motion-actuation</t>
  </si>
  <si>
    <t>https://www.w3.org/WAI/WCAG22/Techniques/general/G213</t>
  </si>
  <si>
    <t>Functionality that can be operated by device motion or user motion can also be operated by user interface components and responding to the motion can be disabled to prevent accidental actuation, except when: Supported Interface: The motion is used to operate functionality through an accessibility supported interface; Essential: The motion is essential for the function and doing so would invalidate the activity.</t>
  </si>
  <si>
    <t>F106</t>
  </si>
  <si>
    <t>Failure due to inability to deactivate motion actuation
Procedure
For each function that is triggered by a motion sensor:
1. Check if the use of a motion sensor is essential or required to make the function accessibility supported.
2. Check if there is a user setting which disables the motion detection.</t>
  </si>
  <si>
    <t>https://www.w3.org/WAI/WCAG22/Techniques/failures/F106</t>
  </si>
  <si>
    <t>H57</t>
  </si>
  <si>
    <t>Readable</t>
  </si>
  <si>
    <t>3.1</t>
  </si>
  <si>
    <t>3.1.1</t>
  </si>
  <si>
    <t>Language of Page</t>
  </si>
  <si>
    <t>Using the language attribute on the HTML element
Procedure
Examine the html element of the document.
1. Check that the html element has a lang attribute.
2. Check that the value of the lang attribute conforms to BCP 47: Tags for Identifying Languages; Matching of Language Tags or its successor and reflects the primary language used by the web page.</t>
  </si>
  <si>
    <t>https://www.w3.org/WAI/WCAG22/quickref/?showtechniques=121#readable</t>
  </si>
  <si>
    <t>https://www.w3.org/WAI/WCAG22/quickref/?showtechniques=121#language-of-page</t>
  </si>
  <si>
    <t>https://www.w3.org/WAI/WCAG22/Techniques/html/H57</t>
  </si>
  <si>
    <t>The default human language of each web page can be programmatically determined.</t>
  </si>
  <si>
    <t>PDF16</t>
  </si>
  <si>
    <t>Setting the default language using the /Lang entry in the document catalog of a PDF document
Procedure
1. Verify that the default language for the document is correctly specified by applying one of the following:
  - Read the PDF document with a screen reader, listening to hear that the text is read in the correct natural language.
  - Using a PDF editor, check that the language is set to the default document language.
  - Use a tool which is capable of showing the /Lang entry value in the document catalog to open the PDF document and view the language settings.
  - Use a tool that exposes the document through the accessibility API and verify that the language is set to the default language.</t>
  </si>
  <si>
    <t>https://www.w3.org/WAI/WCAG22/Techniques/pdf/PDF16</t>
  </si>
  <si>
    <t>PDF19</t>
  </si>
  <si>
    <t>Specifying the language for a passage or phrase with the Lang entry in PDF documents
Procedure
1. Verify that the language of a passage, phrase, or word that differs from the language of the surrounding text is correctly specified by a /Lang entry on an enclosing tag or container:
  - Read the PDF document with a screen reader that supports the language of the phrase and the language of the surrounding text, listening to hear that the text is read in the correct natural language.
  - Using a PDF editor, select the word or phrase that is in the different language and check that the language is set correctly.
  - Use a tool which is capable of showing the /Lang entry value to open the PDF document and view the language settings.
  - Use a tool that exposes the document through the accessibility API and verify that the language for the passage or phrase is set correctly.
2. Verify that if the container or tag contains the entire document, the language setting is the language intended as the default for the document.</t>
  </si>
  <si>
    <t>https://www.w3.org/WAI/WCAG22/Techniques/pdf/PDF19</t>
  </si>
  <si>
    <t>H58</t>
  </si>
  <si>
    <t>3.1.2</t>
  </si>
  <si>
    <t>Language of Parts</t>
  </si>
  <si>
    <t>Using language attributes to identify changes in the human language
Procedure
For each element in the document:
1. Check that the human language of the content of the element is the same as the inherited language for the element as specified in HTML - The lang and xml:lang attributes.
For each lang attribute in the document:
1. Check that the value of the lang attribute conforms to BCP 47: Tags for Identifying Languages; Matching of Language Tags or its successor.
2. Check that the language code matches the language of the content it applies to.</t>
  </si>
  <si>
    <t>https://www.w3.org/WAI/WCAG22/quickref/?showtechniques=121#language-of-parts</t>
  </si>
  <si>
    <t>https://www.w3.org/WAI/WCAG22/Techniques/html/H58</t>
  </si>
  <si>
    <t>The human language of each passage or phrase in the content can be programmatically determined except for proper names, technical terms, words of indeterminate language, and words or phrases that have become part of the vernacular of the immediately surrounding text.</t>
  </si>
  <si>
    <t>G107</t>
  </si>
  <si>
    <t>Predictable</t>
  </si>
  <si>
    <t>3.2</t>
  </si>
  <si>
    <t>3.2.1</t>
  </si>
  <si>
    <t>On Focus</t>
  </si>
  <si>
    <t>Using "activate" rather than "focus" as a trigger for changes of context
Procedure
1. Using a keyboard, cycle focus through all content
2. Check that no changes of context occur when any component receives focus.</t>
  </si>
  <si>
    <t>https://www.w3.org/WAI/WCAG22/quickref/?showtechniques=121#predictable</t>
  </si>
  <si>
    <t>https://www.w3.org/WAI/WCAG22/quickref/?showtechniques=121#on-focus</t>
  </si>
  <si>
    <t>https://www.w3.org/WAI/WCAG22/Techniques/general/G107</t>
  </si>
  <si>
    <t>When any user interface component receives focus, it does not initiate a change of context.</t>
  </si>
  <si>
    <t>G80</t>
  </si>
  <si>
    <t>3.2.2</t>
  </si>
  <si>
    <t>On Input</t>
  </si>
  <si>
    <t>Providing a submit button to initiate a change of context
Procedure
1. Find all forms in the content
2. For each form, check that it has a submit button</t>
  </si>
  <si>
    <t>https://www.w3.org/WAI/WCAG22/quickref/?showtechniques=121#on-input</t>
  </si>
  <si>
    <t>https://www.w3.org/WAI/WCAG22/Techniques/general/G80</t>
  </si>
  <si>
    <t>Changing the setting of any user interface component does not automatically cause a change of context unless the user has been advised of the behavior before using the component.</t>
  </si>
  <si>
    <t>H32</t>
  </si>
  <si>
    <t>Providing submit buttons
Procedure
1. Find all forms in the content.
2. For each form, check that it has a submit button (&lt;input type="submit"&gt;, &lt;input type="image"&gt;, or &lt;button type="submit"&gt;).</t>
  </si>
  <si>
    <t>https://www.w3.org/WAI/WCAG22/Techniques/html/H32</t>
  </si>
  <si>
    <t>H84</t>
  </si>
  <si>
    <t>Using a button with a select element to perform an action
Procedure
For each select element/button element combination:
1. Check that focus (including keyboard focus) on an option in the select element does not result in any actions
2. Check that selecting the button performs the action associated with the current select value</t>
  </si>
  <si>
    <t>https://www.w3.org/WAI/WCAG22/Techniques/html/H84</t>
  </si>
  <si>
    <t>PDF15</t>
  </si>
  <si>
    <t>Providing submit buttons with the submit-form action in PDF forms
Procedure
1. For each page that submits a form, visually verify that the form contains a submit button and check one of the following:
  - Tab to the button and check that it submits the form in response to user action to select the button.
  - Open the PDF document with a tool that is capable of showing the submit-form action and check that the button action is to submit the form.</t>
  </si>
  <si>
    <t>https://www.w3.org/WAI/WCAG22/Techniques/pdf/PDF15</t>
  </si>
  <si>
    <t>G13</t>
  </si>
  <si>
    <t>Describing what will happen before a change to a form control that causes a change of context to occur is made
Procedure
- Locate content where changing the setting of a form control results in a change of context
- Check to see that an explanation of what will happen when the control is changed is available prior to the controls activation</t>
  </si>
  <si>
    <t>https://www.w3.org/WAI/WCAG22/Techniques/general/G13</t>
  </si>
  <si>
    <t>SCR19</t>
  </si>
  <si>
    <t>Using an onchange event on a select element without causing a change of context
Procedure
1. Navigate to the trigger select element (in this example, the one to select continents) and change the value of the select.
2. Navigate to the select element that is updated by the trigger (in this example, the one to select countries).
3. Check that the matching option values are displayed in the other select element.
4. Navigate to the trigger select element, navigate through the options but do not change the value.
5. Check that the matching option values are still displayed in the associated element.</t>
  </si>
  <si>
    <t>https://www.w3.org/WAI/WCAG22/Techniques/client-side-script/SCR19</t>
  </si>
  <si>
    <t>F36</t>
  </si>
  <si>
    <t>Failure of Success Criterion 3.2.2 due to automatically submitting a form and presenting new content without prior warning when the last field in the form is given a value
Procedure
1. Enter data in all fields on page starting at top.
2. Enter data in last field and exit from it (tab out of it).
3. Check whether leaving the last field causes change of context.</t>
  </si>
  <si>
    <t>https://www.w3.org/WAI/WCAG22/Techniques/failures/F36</t>
  </si>
  <si>
    <t>F37</t>
  </si>
  <si>
    <t>Failure of Success Criterion 3.2.2 due to launching a new window without prior warning when the selection of a radio button, check box or select list is changed
Procedure
1. Find each form in a page.
2. For each form control that is a radio button, check box or an item in a select list, check if changing the selection of the control launches a new window.
3. For each new window resulting from step 2, check if the user is warned in advance.</t>
  </si>
  <si>
    <t>https://www.w3.org/WAI/WCAG22/Techniques/failures/F37</t>
  </si>
  <si>
    <t>G61</t>
  </si>
  <si>
    <t>3.2.3</t>
  </si>
  <si>
    <t>Consistent Navigation</t>
  </si>
  <si>
    <t>Presenting repeated components in the same relative order each time they appear
Procedure
1. List components that are repeated on each web page in a set of web pages (for example, on each page in a website).
2. For each component, check that it appears in the same relative order with regard to other repeated components on each web page where it appears.
3. For each navigational component, check that the links or programmatic references are always in the same relative order.</t>
  </si>
  <si>
    <t>https://www.w3.org/WAI/WCAG22/quickref/?showtechniques=121#consistent-navigation</t>
  </si>
  <si>
    <t>https://www.w3.org/WAI/WCAG22/Techniques/general/G61</t>
  </si>
  <si>
    <t>Navigational mechanisms that are repeated on multiple web pages within a set of web pages occur in the same relative order each time they are repeated, unless a change is initiated by the user.</t>
  </si>
  <si>
    <t>F66</t>
  </si>
  <si>
    <t>Failure of Success Criterion 3.2.3 due to presenting navigation links in a different relative order on different pages
Procedure
1. Check to see if a navigation mechanism is being used on more than one web page.
2. Check the default presentation of the navigation mechanism on each page to see if the list of links are in the same relative order on each web page.</t>
  </si>
  <si>
    <t>https://www.w3.org/WAI/WCAG22/Techniques/failures/F66</t>
  </si>
  <si>
    <t>G197</t>
  </si>
  <si>
    <t>3.2.4</t>
  </si>
  <si>
    <t>Consistent Identification</t>
  </si>
  <si>
    <t>Using labels, names, and text alternatives consistently for content that has the same functionality
Procedure
1. Check that each component is associated with text that identifies it (i.e., label, name, or text alternative).
2. Check that this associated text is identical for each user interface component with the same function.</t>
  </si>
  <si>
    <t>https://www.w3.org/WAI/WCAG22/quickref/?showtechniques=121#consistent-identification</t>
  </si>
  <si>
    <t>https://www.w3.org/WAI/WCAG22/Techniques/general/G197</t>
  </si>
  <si>
    <t>Components that have the same functionality within a set of web pages are identified consistently.</t>
  </si>
  <si>
    <t>F31</t>
  </si>
  <si>
    <t>Failure of Success Criterion 3.2.4 due to using two different labels for the same function on different web pages within a set of web pages
Procedure
1. In a set of web pages, find components with the same function that are repeated in multiple web pages.
2. For each component with the same function found in step #1, check that the naming is consistent.</t>
  </si>
  <si>
    <t>https://www.w3.org/WAI/WCAG22/Techniques/failures/F31</t>
  </si>
  <si>
    <t>G83</t>
  </si>
  <si>
    <t>Input Assistance</t>
  </si>
  <si>
    <t>3.3</t>
  </si>
  <si>
    <t>3.3.1</t>
  </si>
  <si>
    <t>Error Identification</t>
  </si>
  <si>
    <t>Providing text descriptions to identify required fields that were not completed
Procedure
1. Fill out a form, deliberately leaving one or more required (mandatory) fields blank, and submit it.
2. Check that a text description is provided identifying the mandatory field(s) that was not completed.
3. Check that other data previously entered by the user is re-displayed, unless the data is in a security related field where it would be inappropriate to retain the data for re-display (e.g. password).</t>
  </si>
  <si>
    <t>https://www.w3.org/WAI/WCAG22/quickref/?showtechniques=121#input-assistance</t>
  </si>
  <si>
    <t>https://www.w3.org/WAI/WCAG22/quickref/?showtechniques=121#error-identification</t>
  </si>
  <si>
    <t>https://www.w3.org/WAI/WCAG22/Techniques/general/G83</t>
  </si>
  <si>
    <t>If an input error is automatically detected, the item that is in error is identified and the error is described to the user in text.</t>
  </si>
  <si>
    <t>ARIA21</t>
  </si>
  <si>
    <t>Using aria-invalid to Indicate An Error Field
Procedure
For each form control that relies on aria-invalid to convey a validation failure:
1. Check that aria-invalid is not set to true when a validation failure does not exist.
2. Check that aria-invalid is set to true when a validation failure does exist.
3. Check that the programmatically associated labels / programmatically associated instructional text for the field provide enough information to understand the error.</t>
  </si>
  <si>
    <t>https://www.w3.org/WAI/WCAG22/Techniques/aria/ARIA21</t>
  </si>
  <si>
    <t>SCR18</t>
  </si>
  <si>
    <t>Providing client-side validation and alert
Procedure
For form fields that require specific input:
1. enter invalid data
2. determine if an alert describing the error is provided.</t>
  </si>
  <si>
    <t>https://www.w3.org/WAI/WCAG22/Techniques/client-side-script/SCR18</t>
  </si>
  <si>
    <t>PDF5</t>
  </si>
  <si>
    <t>Indicating required form controls in PDF forms
Procedure
For each form field that is required, verify that validation information and instructions are provided by applying the following:
1. Check that the required status is indicated in the form control's label.
2. Leave the field blank and submit the form. Check that an alert describing the error is provided.
3. Use a tool that exposes the document through the accessibility API, and verify that the required property is indicated.</t>
  </si>
  <si>
    <t>https://www.w3.org/WAI/WCAG22/Techniques/pdf/PDF5</t>
  </si>
  <si>
    <t>ARIA18</t>
  </si>
  <si>
    <t>Using aria-alertdialog to Identify Errors
Procedure
1. Trigger the error that causes the alertdialog to appear.
2. Determine that the alertdialog contains at least one focusable element, and the focus moves to that element when the alertdialog opens.
3. Determine that the tab order is constrained within the alertdialog while it is open, and when the alertdialog is dismissed, the focus moves back to the position it had before the alertdialog opened, if possible.
4. Examine the element with alertdialog applied.
5. Determine that either the aria-label or aria-labelledby attribute has been correctly used to give the alertdialog an accessible name.
6. Determine that the contents of the alertdialog identifies the input error.
7. Determine whether contents of the alertdialog suggests how to fix the error.</t>
  </si>
  <si>
    <t>https://www.w3.org/WAI/WCAG22/Techniques/aria/ARIA18</t>
  </si>
  <si>
    <t>ARIA19</t>
  </si>
  <si>
    <t>Using ARIA role=alert or Live Regions to Identify Errors
Procedure
1. Determine that an empty error container with `role=alert` or `aria-live=assertive` attribute is present in the DOM at page load.
2. Trigger the error that causes the content in the live region to appear or update.
3. Determine that the error message was injected into the already present error container.</t>
  </si>
  <si>
    <t>https://www.w3.org/WAI/WCAG22/Techniques/aria/ARIA19</t>
  </si>
  <si>
    <t>G84</t>
  </si>
  <si>
    <t>Providing a text description when the user provides information that is not in the list of allowed values
Procedure
1. Enter invalid data in a form field.
2. Check that information is provided in text about the problem.</t>
  </si>
  <si>
    <t>https://www.w3.org/WAI/WCAG22/Techniques/general/G84</t>
  </si>
  <si>
    <t>G85</t>
  </si>
  <si>
    <t>Providing a text description when user input falls outside the required format or values
Procedure
1. Fill out a form, deliberately enter user input that falls outside the required format or values
2. Check that a text description is provided that identifies the field in error and provides some information about the nature of the invalid entry and how to fix it.
3. Check that other data previously entered by the user is re-displayed, unless the data is in a security related field where it would be inappropriate to retain the data for re-display (e.g. password).</t>
  </si>
  <si>
    <t>https://www.w3.org/WAI/WCAG22/Techniques/general/G85</t>
  </si>
  <si>
    <t>SCR32</t>
  </si>
  <si>
    <t>Providing client-side validation and adding error text via the DOM
Procedure
Create error messages using anchor tags and appropriate scripting via the technique above.
1. Load the page.
2. Enter a valid value in the field(s) associated with an error message and verify that no error messages are displayed.
3. Enter an invalid value in the field(s) associated with an error message and verify that the correct error message for the field is displayed.
4. Verify that the error messages receive focus.
5. Enter a valid value in the field(s) associated with the displayed error message and verify that the error message is removed.
6. Repeat for all fields with associated error messages created via anchor tags.</t>
  </si>
  <si>
    <t>https://www.w3.org/WAI/WCAG22/Techniques/client-side-script/SCR32</t>
  </si>
  <si>
    <t>PDF22</t>
  </si>
  <si>
    <t>Indicating when user input falls outside the required format or values in PDF forms
Procedure
For each form field that requires specific input, verify that validation information and instructions are provided by applying the following:
1. Check that the format or value that is required is indicated in the form control's label.
2. Use an erroneous format or value and move off the field: make sure that an alert describing the error is provided.</t>
  </si>
  <si>
    <t>https://www.w3.org/WAI/WCAG22/Techniques/pdf/PDF22</t>
  </si>
  <si>
    <t>3.3.2</t>
  </si>
  <si>
    <t>Labels or Instructions</t>
  </si>
  <si>
    <t>https://www.w3.org/WAI/WCAG22/quickref/?showtechniques=121#labels-or-instructions</t>
  </si>
  <si>
    <t>Labels or instructions are provided when content requires user input.</t>
  </si>
  <si>
    <t>ARIA1</t>
  </si>
  <si>
    <t>Using the aria-describedby property to provide a descriptive label for user interface controls
Procedure
1. Check that there is a user interface control having an aria-describedby attribute that references one or more elements via unique id.
2. Check that the referenced element or elements provide additional information about the user interface control.</t>
  </si>
  <si>
    <t>https://www.w3.org/WAI/WCAG22/Techniques/aria/ARIA1</t>
  </si>
  <si>
    <t>ARIA2</t>
  </si>
  <si>
    <t>Identifying a required field with the aria-required property
Procedure
For each control which is shown via presentation to be required.
1. Check whether the aria-required attribute is present:
2. Check whether the value of the aria-required attribute is the correct required state of the user interface component.</t>
  </si>
  <si>
    <t>https://www.w3.org/WAI/WCAG22/Techniques/aria/ARIA2</t>
  </si>
  <si>
    <t>Using aria-labelledby to concatenate a label from several text nodes
Procedure
For inputs that use aria-labelledby:
1. Check that ids referenced in aria-labelledby are unique and match the ids of the text nodes that together provide the label
2. Check that the concatenated content of elements referenced by aria-labelledby is descriptive for the purpose or function of the element labeled</t>
  </si>
  <si>
    <t>G89</t>
  </si>
  <si>
    <t>Providing expected data format and example
Procedure
1. Identify form controls that will only accept user input data in a given format.
2. Determine if each of the form controls identified in 1 provides information about the expected format.</t>
  </si>
  <si>
    <t>https://www.w3.org/WAI/WCAG22/Techniques/general/G89</t>
  </si>
  <si>
    <t>G184</t>
  </si>
  <si>
    <t>Providing text instructions at the beginning of a form or set of fields that describes the necessary input
Procedure
1. Identify form controls that will only accept user input data in a given format.
2. Determine if instructions are provided at the top of the form about the expected format of each of the form controls identified in 1.</t>
  </si>
  <si>
    <t>https://www.w3.org/WAI/WCAG22/Techniques/general/G184</t>
  </si>
  <si>
    <t>G162</t>
  </si>
  <si>
    <t>Positioning labels to maximize predictability of relationships
Procedure
For each form field on the web page:
1. Check that the form field has a visible label.
2. If the form field is a checkbox or radio button, check that the label is immediately after the field.
3. If the form field is not a checkbox or radio button, check that the label is immediately before the field.</t>
  </si>
  <si>
    <t>https://www.w3.org/WAI/WCAG22/Techniques/general/G162</t>
  </si>
  <si>
    <t>H90</t>
  </si>
  <si>
    <t>Indicating required form controls using label or legend
Procedure
1. For each required form control, check that the required status is indicated in the form control's label or legend.
2. For each indicator of required status that is not provided in text, check that the meaning of the indicator is explained before the form control that uses it.</t>
  </si>
  <si>
    <t>https://www.w3.org/WAI/WCAG22/Techniques/html/H90</t>
  </si>
  <si>
    <t>G167</t>
  </si>
  <si>
    <t>Using an adjacent button to label the purpose of a field
Procedure
For a field and a button using this technique:
1. Check that the field and button are adjacent to one another in the programmatically determined reading sequence.
2. Check that the field and button are visually rendered adjacent to one another.
3. Where the button does not have a visible text label, check that it has an accessible name</t>
  </si>
  <si>
    <t>https://www.w3.org/WAI/WCAG22/Techniques/general/G167</t>
  </si>
  <si>
    <t>F82</t>
  </si>
  <si>
    <t>Failure of Success Criterion 3.3.2 by visually formatting a set of phone number fields but not including a text label
Procedure
1. For each set of phone number fields in the web page that represents a single phone number, check that the set of fields are labeled with a visible text label that is positioned near the set of phone number fields.
2. For each set of phone number fields in the web page that represent a single phone number, instructions are provided about how to fill in the fields.</t>
  </si>
  <si>
    <t>https://www.w3.org/WAI/WCAG22/Techniques/failures/F82</t>
  </si>
  <si>
    <t>3.3.3</t>
  </si>
  <si>
    <t>Error Suggestion</t>
  </si>
  <si>
    <t>https://www.w3.org/WAI/WCAG22/quickref/?showtechniques=121#error-suggestion</t>
  </si>
  <si>
    <t>If an input error is automatically detected and suggestions for correction are known, then the suggestions are provided to the user, unless it would jeopardize the security or purpose of the content.</t>
  </si>
  <si>
    <t>G177</t>
  </si>
  <si>
    <t>Providing suggested correction text
Procedure
1. Identify form fields where correct text could be inferred from incorrect text.
2. Fill out the form, deliberately filling in the identified form fields with incorrect text.
3. Check that the user is presented with suggestions for the correct text.
4. Check that the suggestions are provided next to the form field or a link to the suggestions is provided close to the form field.</t>
  </si>
  <si>
    <t>https://www.w3.org/WAI/WCAG22/Techniques/general/G177</t>
  </si>
  <si>
    <t>G164</t>
  </si>
  <si>
    <t>3.3.4</t>
  </si>
  <si>
    <t>Error Prevention (Legal, Financial, Data)</t>
  </si>
  <si>
    <t>Providing a stated time within which an online request (or transaction) may be amended or canceled by the user after making the request
Procedure
1. Check that the web page describes the time period to cancel or change an order.
2. Check that the web page describes the process for canceling or changing an order.</t>
  </si>
  <si>
    <t>https://www.w3.org/WAI/WCAG22/quickref/?showtechniques=121#error-prevention-legal-financial-data</t>
  </si>
  <si>
    <t>https://www.w3.org/WAI/WCAG22/Techniques/general/G164</t>
  </si>
  <si>
    <t>For web pages that cause legal commitments or financial transactions for the user to occur, that modify or delete user-controllable data in data storage systems, or that submit user test responses, at least one of the following is true: Reversible - Submissions are reversible; Checked - Data entered by the user is checked for input errors and the user is provided an opportunity to correct them; Confirmed - A mechanism is available for reviewing, confirming, and correcting information before finalizing the submission.</t>
  </si>
  <si>
    <t>G98</t>
  </si>
  <si>
    <t>Providing the ability for the user to review and correct answers before submitting
Procedure
In a testing application or one that causes financial or legal transactions to occur and that also collects data from users in multiple steps:
1. Check that the user is prompted to review and confirm data.
2. If user data are collected in multiple steps, the user is allowed to return to previous steps to review and change data.
3. Determine if a summary of all data input by the user is provided before the transaction is committed and a method is provided to correct errors if necessary.</t>
  </si>
  <si>
    <t>https://www.w3.org/WAI/WCAG22/Techniques/general/G98</t>
  </si>
  <si>
    <t>G155</t>
  </si>
  <si>
    <t>Providing a checkbox in addition to a submit button
Procedure
For user input pages that cause irreversible transactions to occur:
1. Check that a checkbox indicating user confirmation of the input or action is provided in addition to the submit button.
2. Check that if the checkbox is not selected when the form is submitted, the input is rejected and the user is prompted to review their entry, select the checkbox, and resubmit.</t>
  </si>
  <si>
    <t>https://www.w3.org/WAI/WCAG22/Techniques/general/G155</t>
  </si>
  <si>
    <t>G99</t>
  </si>
  <si>
    <t>Providing the ability to recover deleted information
Procedure
1. Identify functionality that allows deleting content
2. Delete content and attempt to recover it.
3. Check if deleted information can be recovered.</t>
  </si>
  <si>
    <t>https://www.w3.org/WAI/WCAG22/Techniques/general/G99</t>
  </si>
  <si>
    <t>G168</t>
  </si>
  <si>
    <t>Requesting confirmation to continue with selected action
Procedure
1. Initiate the action that can not be reversed or changed.
2. Check that a request to confirm the selected action is presented.
3. Check that the action can be confirmed and canceled.</t>
  </si>
  <si>
    <t>https://www.w3.org/WAI/WCAG22/Techniques/general/G168</t>
  </si>
  <si>
    <t>G134</t>
  </si>
  <si>
    <t>Compatible</t>
  </si>
  <si>
    <t>4.1</t>
  </si>
  <si>
    <t>4.1.1</t>
  </si>
  <si>
    <t>Parsing (Obsolete and removed)</t>
  </si>
  <si>
    <t>Validating web pages
Procedure
For HTML, SGML-based and XML-based technologies:
1. Load each page or document into a validating parser.
2. Check that no validation errors are found.
For other technologies:
Follow the validation procedure defined for the technology in use, if any exists.</t>
  </si>
  <si>
    <t>https://www.w3.org/WAI/WCAG22/quickref/?showtechniques=121#compatible</t>
  </si>
  <si>
    <t>https://www.w3.org/WAI/WCAG22/quickref/?showtechniques=121#parsing</t>
  </si>
  <si>
    <t>https://www.w3.org/WAI/WCAG22/Techniques/general/G134</t>
  </si>
  <si>
    <t>In content implemented using markup languages, elements have complete start and end tags, elements are nested according to their specifications, elements do not contain duplicate attributes, and any IDs are unique, except where the specifications allow these features. (Note: This Success Criterion has been removed as of WCAG 2.2; the entry is retained because the WCAG 2.1 techniques remain relevant for legacy conformance.)</t>
  </si>
  <si>
    <t>G192</t>
  </si>
  <si>
    <t>Fully conforming to specifications
Procedure
1. Check that all technologies are used according to specification.
Note
While validators can be great tools for catching errors, they usually cannot catch all cases where content fails to fully conform to a specification.</t>
  </si>
  <si>
    <t>https://www.w3.org/WAI/WCAG22/Techniques/general/G192</t>
  </si>
  <si>
    <t>H88</t>
  </si>
  <si>
    <t>Using HTML according to spec
Procedure
For each HTML page:
1. Check that the page uses only elements, attributes, and attribute values that are defined in the specification.
2. Check that elements, attributes, and values are used in the manner prescribed by the specification.
3. Check that the page can be parsed correctly, according to the rules of the specification.</t>
  </si>
  <si>
    <t>https://www.w3.org/WAI/WCAG22/Techniques/html/H88</t>
  </si>
  <si>
    <t>H74</t>
  </si>
  <si>
    <t>Ensuring that opening and closing tags are used according to specification
Procedure
1. Check that there are closing tags for all elements with required closing tags.
2. Check that there are no closing tags for all elements where closing tags are forbidden.
3. Check that opening and closing tags for all elements are correctly nested.</t>
  </si>
  <si>
    <t>https://www.w3.org/WAI/WCAG22/Techniques/html/H74</t>
  </si>
  <si>
    <t>H93</t>
  </si>
  <si>
    <t>Ensuring that `id` attributes are unique on a web page
Procedure
1. Check that all `id` attribute values are unique on the page.</t>
  </si>
  <si>
    <t>https://www.w3.org/WAI/WCAG22/Techniques/html/H93</t>
  </si>
  <si>
    <t>H94</t>
  </si>
  <si>
    <t>Ensuring that elements do not contain duplicate attributes
Procedure
1. Check that no attribute occurs more than once on any element</t>
  </si>
  <si>
    <t>https://www.w3.org/WAI/WCAG22/Techniques/html/H94</t>
  </si>
  <si>
    <t>H75</t>
  </si>
  <si>
    <t>Ensuring that web pages are well-formed
Procedure
1. Load each file into a validating XML parser.
2. Check that there are no well-formedness errors.</t>
  </si>
  <si>
    <t>https://www.w3.org/WAI/WCAG22/Techniques/html/H75</t>
  </si>
  <si>
    <t>F70</t>
  </si>
  <si>
    <t>Failure of Success Criterion 4.1.1 due to incorrect use of start and end tags or attribute markup
Procedure
1. Check the source code of pages implemented in markup languages.
2. Check whether any opening tags, closing tags or attributes are malformed.</t>
  </si>
  <si>
    <t>https://www.w3.org/WAI/WCAG22/Techniques/failures/F70</t>
  </si>
  <si>
    <t>F77</t>
  </si>
  <si>
    <t>Failure of Success Criterion 4.1.1 due to duplicate values of type ID
Procedure
1. Check that all values of type id are unique in the web page</t>
  </si>
  <si>
    <t>https://www.w3.org/WAI/WCAG22/Techniques/failures/F77</t>
  </si>
  <si>
    <t>ARIA14</t>
  </si>
  <si>
    <t>4.1.2</t>
  </si>
  <si>
    <t>Name, Role, Value</t>
  </si>
  <si>
    <t>Using aria-label to provide an accessible name where a visible label cannot be used
Procedure
For elements that use the `aria-label` attribute:
1. Check that the value of the `aria-label` attribute properly describes the purpose of an element where user input is required</t>
  </si>
  <si>
    <t>https://www.w3.org/WAI/WCAG22/quickref/?showtechniques=121#name-role-value</t>
  </si>
  <si>
    <t>https://www.w3.org/WAI/WCAG22/Techniques/aria/ARIA14</t>
  </si>
  <si>
    <t>For all user interface components (including but not limited to: form elements, links and components generated by scripts), the name and role can be programmatically determined; states, properties, and values that can be set by the user can be programmatically set; and notification of changes to these items is available to user agents, including assistive technologies.</t>
  </si>
  <si>
    <t>G108</t>
  </si>
  <si>
    <t>Using markup features to expose the name and role, allow user-settable properties to be directly set, and provide notification of changes
Procedure
1. Visually inspect the markup or use a tool.
2. Check that proper markup is used such that the name and role, for each user interface component can be determined.
3. Check that proper markup is used such that the user interface components that accept user input can all be operated from AT.</t>
  </si>
  <si>
    <t>https://www.w3.org/WAI/WCAG22/Techniques/general/G108</t>
  </si>
  <si>
    <t>G135</t>
  </si>
  <si>
    <t>Using the accessibility API features of a technology to expose names and roles, to allow user-settable properties to be directly set, and to provide notification of changes
Procedure
1. Render content using an accessible User Agent
2. Use an Accessibility Tool designed for the Accessibility API of the User agent to evaluate each user interface component
3. Check that name and role for each user interface component are found by the tool.</t>
  </si>
  <si>
    <t>https://www.w3.org/WAI/WCAG22/Techniques/general/G135</t>
  </si>
  <si>
    <t>G10</t>
  </si>
  <si>
    <t>Creating components using a technology that supports the accessibility API features of the platforms on which the user agents will be run to expose the names and roles, allow user-settable properties to be directly set, and provide notification of changes
Procedure
1. Render content using an accessible User Agent.
2. Use an Accessibility Tool designed for the Accessibility API of the User agent to evaluate each user interface component.
3. Check that name and role for each user interface component is found by the tool.
4. Change the values on the component.
5. Check that the Accessibility tool is alerted.
6. Check that the component works with assistive technologies.</t>
  </si>
  <si>
    <t>https://www.w3.org/WAI/WCAG22/Techniques/general/G10</t>
  </si>
  <si>
    <t>ARIA4</t>
  </si>
  <si>
    <t>Using a WAI-ARIA role to expose the role of a user interface component
Procedure
For a user interface component using the `role` attribute:
1. Check that the value of the role attribute is one of the non-abstract roles from the values defined in the WAI-ARIA specification.
2. Check that the characteristics of the user interface component are described by the role.</t>
  </si>
  <si>
    <t>https://www.w3.org/WAI/WCAG22/Techniques/aria/ARIA4</t>
  </si>
  <si>
    <t>ARIA5</t>
  </si>
  <si>
    <t>Using WAI-ARIA state and property attributes to expose the state of a user interface component
Procedure
For a user interface component using the WAI-ARIA role attribute:
1. Check that the required states and properties for the role are present.
2. Check that no WAI-ARIA states or properties that are neither required, supported, nor inherited are present.
3. Check that the state and property values are updated to reflect the current state when the user interface component changes state.</t>
  </si>
  <si>
    <t>https://www.w3.org/WAI/WCAG22/Techniques/aria/ARIA5</t>
  </si>
  <si>
    <t>F59</t>
  </si>
  <si>
    <t>Failure of Success Criterion 4.1.2 due to using script to make div or span a user interface control in HTML without providing a role for the control
Procedure
1. Examine the parsed source code for elements which have event handlers assigned within the mark-up or via scripting (indicating that the element is a user interface control).
2. Check if the role of the control is already defined natively in the mark-up language.
3. Check if another valid method, such as the assignment of a fitting WAI-ARIA role, has been used to define the role of the control.</t>
  </si>
  <si>
    <t>https://www.w3.org/WAI/WCAG22/Techniques/failures/F59</t>
  </si>
  <si>
    <t>F15</t>
  </si>
  <si>
    <t>Failure of Success Criterion 4.1.2 due to implementing custom controls that do not use an accessibility API for the technology, or do so incompletely
Procedure
1. Using the accessibility checker for the technology (or if that is not available, inspect the code using a browser's developer tools, or test with an assistive technology), check the controls to see if they support the accessibility API.</t>
  </si>
  <si>
    <t>https://www.w3.org/WAI/WCAG22/Techniques/failures/F15</t>
  </si>
  <si>
    <t>Failure of Success Criterion 1.1.1 and 4.1.2 due to not updating text alternatives when changes to non-text content occur
Procedure
1. Check each text alternative to see if it is describing content other than the currently-displayed non-text content.</t>
  </si>
  <si>
    <t>F68</t>
  </si>
  <si>
    <t>Failure of Success Criterion 4.1.2 due to a user interface control not having a programmatically determined name
Procedure
For all `input`, `textarea`, and `select` elements in the web page (except inputs of type `hidden`, `submit`, `reset`, or `button`:
1. Check that each element has a programmatically determined name using one of the following ways:
   1. the text label or labels are programmatically associated with the control element via the `aria-labelledby` attribute (each id given as a value in the `aria-labelledby` attribute matches the `id` of the text label element).
   2. the control is programmatically determined through the value of its `aria-label` attribute.
   3. the text label is contained in a `label` element that is correctly associated to the respective `input` element via the label's `for` attribute (the `id` given as value in the `for` attribute matches the `id` of the input element).
   4. the control is contained within a `label` element that also contains the label text.
   5. the control is an `input` of `type` `image` and the `alt` attribute provides a text label.
   6. the control is programmatically determined through the value of `title` attribute.</t>
  </si>
  <si>
    <t>https://www.w3.org/WAI/WCAG22/Techniques/failures/F68</t>
  </si>
  <si>
    <t>F79</t>
  </si>
  <si>
    <t>Failure of Success Criterion 4.1.2 due to the focus state of a user interface component not being programmatically determinable or no notification of change of focus state available
Procedure
1. Using the accessibility checker for the technology (or if that is not available, inspect the code or test with an assistive technology), check the controls to see if they expose the focus state through the accessibility API.
2. Using the accessibility checker for the technology (or if that is not available, inspect the code or test with an assistive technology), check whether assistive technology is notified when focus moves from one control to another.</t>
  </si>
  <si>
    <t>https://www.w3.org/WAI/WCAG22/Techniques/failures/F79</t>
  </si>
  <si>
    <t>F86</t>
  </si>
  <si>
    <t>Failure of Success Criterion 4.1.2 due to not providing names for each part of a multi-part form field, such as a US telephone number
Procedure
For each subfield in the multi-part form field:
1. Check that there is a programmatically determined name for the field.</t>
  </si>
  <si>
    <t>https://www.w3.org/WAI/WCAG22/Techniques/failures/F86</t>
  </si>
  <si>
    <t>ARIA22</t>
  </si>
  <si>
    <t>4.1.3</t>
  </si>
  <si>
    <t>Status Messages</t>
  </si>
  <si>
    <t>Using `role=status` to present status messages
Procedure
For each [status message](https://www.w3.org/TR/WCAG22/#dfn-status-messages):
1. Check that the container destined to hold the status message has a `role` attribute with a value of `status` *before* the status message occurs.
2. Check that when the status message is triggered, it is inside the container.
3. Check that elements or attributes that provide information equivalent to the visual experience for the status message (such as a shopping cart image with proper `alt` text) also reside in the container.</t>
  </si>
  <si>
    <t>https://www.w3.org/WAI/WCAG22/quickref/?showtechniques=121#status-messages</t>
  </si>
  <si>
    <t>https://www.w3.org/WAI/WCAG22/Techniques/aria/ARIA22</t>
  </si>
  <si>
    <t>In content implemented using markup languages, status messages can be programmatically determined through role or properties such that they can be presented to the user by assistive technologies without receiving focus.</t>
  </si>
  <si>
    <t>G199</t>
  </si>
  <si>
    <t>Providing success feedback when data is submitted successfully
Procedure
1. Fill in form fields with no errors.
2. Submit the form.
3. Check that a feedback message on the screen confirms that the submission was successful.</t>
  </si>
  <si>
    <t>https://www.w3.org/WAI/WCAG22/Techniques/general/G199</t>
  </si>
  <si>
    <t>G194</t>
  </si>
  <si>
    <t>Providing spell checking and suggestions for text input
Procedure
1. Check that there is a form field on the page.
2. Enter a misspelled word.
3. Check that a suggested spelling is presented.
4. Check that a mechanism is available to enter the suggested word into the form.</t>
  </si>
  <si>
    <t>https://www.w3.org/WAI/WCAG22/Techniques/general/G194</t>
  </si>
  <si>
    <t>ARIA23</t>
  </si>
  <si>
    <t>Using `role=log` to identify sequential information updates
Procedure
On a page that contains sequentially updating information:
1. Check that the container for the information is given a role of `log`.</t>
  </si>
  <si>
    <t>https://www.w3.org/WAI/WCAG22/Techniques/aria/ARIA23</t>
  </si>
  <si>
    <t>ARIA25</t>
  </si>
  <si>
    <t>Using an ARIA live region to convey the status of a progress bar
Procedure
1. Verify if the page contains a progress bar that dynamically changes to visually convey status information to the user.
2. Using a screen reader, check that updates to the progress bar are conveyed to the user, without focus being moved programmatically to the progress bar/the status message</t>
  </si>
  <si>
    <t>https://www.w3.org/WAI/WCAG22/Techniques/aria/ARIA25</t>
  </si>
  <si>
    <t>G193</t>
  </si>
  <si>
    <t>Providing help by an assistant in the web page
Procedure
1. Check that there is an assistant in the web page.
2. Check that the assistant provides information to help understand the content of the page.</t>
  </si>
  <si>
    <t>https://www.w3.org/WAI/WCAG22/Techniques/general/G193</t>
  </si>
  <si>
    <t>F103</t>
  </si>
  <si>
    <t>Failure of Success Criterion 4.1.3 due to providing status messages that cannot be programmatically determined through role or properties
Procedure
For content that is dynamically added to the page:
1. Check that the element containing the updated content does not take focus
2. Check that the new content provides information to the user on one of the following:
   * the success or result of an action
   * the waiting state of an application
   * the progress of a process
   * the existence of errors
3. Check that the element containing the new content does not have a pre-existing aria role of `status`, `alert`, or `log`, or an `aria-live` attribute
4. Check that the status message is not surfaced (i.e., announced) by assistive technology</t>
  </si>
  <si>
    <t>https://www.w3.org/WAI/WCAG22/Techniques/failures/F103</t>
  </si>
  <si>
    <t>Number</t>
  </si>
  <si>
    <t>Principles</t>
  </si>
  <si>
    <t>ID</t>
  </si>
  <si>
    <t>Guideline Name</t>
  </si>
  <si>
    <t>Principle</t>
  </si>
  <si>
    <t>Perceivable</t>
  </si>
  <si>
    <t>Operable</t>
  </si>
  <si>
    <t>Understandable</t>
  </si>
  <si>
    <t>Robust</t>
  </si>
  <si>
    <t>Success Criteria Name</t>
  </si>
  <si>
    <t>A</t>
  </si>
  <si>
    <t>AA</t>
  </si>
  <si>
    <t>2.4.11</t>
  </si>
  <si>
    <t>Focus Not Obscured (Minimum)</t>
  </si>
  <si>
    <t>2.5.7</t>
  </si>
  <si>
    <t>Dragging Movements</t>
  </si>
  <si>
    <t>2.5.8</t>
  </si>
  <si>
    <t>Target Size (Minimum)</t>
  </si>
  <si>
    <t>3.2.6</t>
  </si>
  <si>
    <t>Consistent Help</t>
  </si>
  <si>
    <t>3.3.7</t>
  </si>
  <si>
    <t>Redundant Entry</t>
  </si>
  <si>
    <t>3.3.8</t>
  </si>
  <si>
    <t>Accessible Authentication (Minimum)</t>
  </si>
  <si>
    <t>Numéro des critères</t>
  </si>
  <si>
    <t>Contenus non-conforme en français</t>
  </si>
  <si>
    <t>Certaines images informatives n'ont pas d'alternative textuelle.</t>
  </si>
  <si>
    <t>NOT U</t>
  </si>
  <si>
    <t>Certaines images décoratives ne sont pas ignorées par un lecteur d'écran.</t>
  </si>
  <si>
    <t>Les alternatives textuelles de certaines images informatives ne sont pas pertinentes.</t>
  </si>
  <si>
    <t>Les alternatives textuelles de CAPTCHA ne permettent pas d’en comprendre la nature ou la fonction.</t>
  </si>
  <si>
    <t>1.5</t>
  </si>
  <si>
    <t>Aucune solution alternative au CAPTCHA n'est proposée.</t>
  </si>
  <si>
    <t>1.6</t>
  </si>
  <si>
    <t xml:space="preserve">Certaines images complexes n'offrent pas de description détaillée. </t>
  </si>
  <si>
    <t>1.7</t>
  </si>
  <si>
    <t>Certaines descriptions détaillées d'images complexes ne sont pas pertinentes.</t>
  </si>
  <si>
    <t>1.8</t>
  </si>
  <si>
    <t>Du texte est parfois fourni sous forme d’image sans solution CSS de remplacement.</t>
  </si>
  <si>
    <t>1.9</t>
  </si>
  <si>
    <t>Les légendes de certaines images ne sont pas correctement associées à l’image (élément &lt;figure&gt;).</t>
  </si>
  <si>
    <t>Certaines cadres (frame, iframe) n'ont pas de titre.</t>
  </si>
  <si>
    <t>Les titres de certains cadres sont présents mais non pertinents.</t>
  </si>
  <si>
    <t xml:space="preserve">Certaines informations sont données par la couleur uniquement. </t>
  </si>
  <si>
    <t>Certains textes offrent des contrastes insuffisants avec leur fond.</t>
  </si>
  <si>
    <t>Certains composants ou éléments graphiques offrent des contrastes insuffisants avec leur fond.</t>
  </si>
  <si>
    <t>Certains médias (audio, vidéo) n'ont pas de transcription textuelle ni d'audiodescription.</t>
  </si>
  <si>
    <t>4.2</t>
  </si>
  <si>
    <t>Certaines transcriptions textuelles ou audiodescriptions ne sont pas pertinentes (informations incomplètes ou synchronisation incorrecte).</t>
  </si>
  <si>
    <t>4.3</t>
  </si>
  <si>
    <t>Certaines vidéos n'ont pas de sous-titres.</t>
  </si>
  <si>
    <t>4.4</t>
  </si>
  <si>
    <t>Certains sous-titres ne sont pas pertinents (dialogues incomplets ou synchronisation incorrecte).</t>
  </si>
  <si>
    <t>4.5</t>
  </si>
  <si>
    <t>Certains médias (audio, vidéo) ne proposent pas d'audiodescription.</t>
  </si>
  <si>
    <t>4.6</t>
  </si>
  <si>
    <t>Certaines audiodescriptions de médias (audio, vidéo) ne sont pas pertinentes.</t>
  </si>
  <si>
    <t>4.7</t>
  </si>
  <si>
    <t xml:space="preserve">Certains médias (vidéo, audio) ne sont pas clairement identifiables comme tels par le lecteur d'écran, </t>
  </si>
  <si>
    <t>4.8</t>
  </si>
  <si>
    <t>Certains contenus interactifs  (Flash, Java...) ne proposent pas d'alternative.</t>
  </si>
  <si>
    <t>4.9</t>
  </si>
  <si>
    <t>Certaines alternatives aux contenus interactifs (Flash, Java...) ne sont pas pertinentes.</t>
  </si>
  <si>
    <t>4.10</t>
  </si>
  <si>
    <t>Des son déclenché automatiquement ne sont pas contrôlable par l’utilisateur.</t>
  </si>
  <si>
    <t>4.11</t>
  </si>
  <si>
    <t>Certains médias (audio, vidéo) ne sont pas contrôlables au clavier.</t>
  </si>
  <si>
    <t>4.12</t>
  </si>
  <si>
    <t>Certains contenus interactifs  (Flash, Java...) ne sont pas contrôlables au clavier.</t>
  </si>
  <si>
    <t>4.13</t>
  </si>
  <si>
    <t>Certains médias (audio, vidéo) ou contenus interactifs  (Flash, Java...) ne sont pas utilisables par un outil d'assistance (ex, : lecteur d'écran).</t>
  </si>
  <si>
    <t>5.1</t>
  </si>
  <si>
    <t>Certains tableaux de données complexes n'ont pas de résumé.</t>
  </si>
  <si>
    <t>5.2</t>
  </si>
  <si>
    <t>Certains résumés de tableaux de données complexes ne sont pas pertinents.</t>
  </si>
  <si>
    <t>5.3</t>
  </si>
  <si>
    <t>Certains tableaux de présentation deviennent incompréhensibles, une fois linéarisés.</t>
  </si>
  <si>
    <t>5.4</t>
  </si>
  <si>
    <t>Le titre de certains tableaux de données n'est pas correctement associé au tableau.</t>
  </si>
  <si>
    <t>5.5</t>
  </si>
  <si>
    <t>Le titre de certains tableaux de données n'est pas pertinent.</t>
  </si>
  <si>
    <t>5.6</t>
  </si>
  <si>
    <t>Certains en-têtes de ligne ou de colonne de tableau ne sont pas correctement déclarés.</t>
  </si>
  <si>
    <t>5.7</t>
  </si>
  <si>
    <t>Certains en-têtes de ligne ou de colonne de tableau ne sont pas correctement associés aux cellules de données.</t>
  </si>
  <si>
    <t>5.8</t>
  </si>
  <si>
    <t>Certains tableaux de présentation utilisent des attributs propres aux tableaux de données.</t>
  </si>
  <si>
    <t>6.1</t>
  </si>
  <si>
    <t>L'intitulé de certains liens et leur contexte ne permettent pas d'en comprendre la fonction ou la destination.</t>
  </si>
  <si>
    <t>6.2</t>
  </si>
  <si>
    <t>Certains liens ne possèdent pas d'intitulé.</t>
  </si>
  <si>
    <t>7.1</t>
  </si>
  <si>
    <t>Des composants d'interfaces ne sont pas compatibles avec le lecteur d'écran.</t>
  </si>
  <si>
    <t>7.2</t>
  </si>
  <si>
    <t>L'alternative de certains scripts n'est pas pertinente.</t>
  </si>
  <si>
    <t>7.3</t>
  </si>
  <si>
    <t>Des composants d'interface ne sont pas contrôlables au clavier.</t>
  </si>
  <si>
    <t>7.4</t>
  </si>
  <si>
    <t>Des changements de contexte ne sont pas annoncés en avance ou contrôlables par l'utilisateur.</t>
  </si>
  <si>
    <t>7.5</t>
  </si>
  <si>
    <t>Des messages de statuts ne sont pas correctement restitués au lecteur d'écran.</t>
  </si>
  <si>
    <t>8.1</t>
  </si>
  <si>
    <t>Certaines pages ne sont pas définies correctement avec un type de document (doctype).</t>
  </si>
  <si>
    <t>8.2</t>
  </si>
  <si>
    <t>Certaines pages ont un code source non valide : règle d’écriture, ouverture, fermeture et imbrication des éléments, unicité des attributs id.</t>
  </si>
  <si>
    <t>8.3</t>
  </si>
  <si>
    <t>Certaines pages n'indiquent pas leur langue par défaut.</t>
  </si>
  <si>
    <t>8.4</t>
  </si>
  <si>
    <t>Certaines langues par défaut ne sont pas pertinentes.</t>
  </si>
  <si>
    <t>8.5</t>
  </si>
  <si>
    <t>Certaines pages n'ont pas de titre.</t>
  </si>
  <si>
    <t>8.6</t>
  </si>
  <si>
    <t>Le titre de certaines pages n'est pas pertinent.</t>
  </si>
  <si>
    <t>8.7</t>
  </si>
  <si>
    <t>Certains changements de langue ne sont pas indiqués dans le code source (attribut lang).</t>
  </si>
  <si>
    <t>8.8</t>
  </si>
  <si>
    <t>Certains changements de langue ne sont pas valables ni pertinents.</t>
  </si>
  <si>
    <t>8.9</t>
  </si>
  <si>
    <t xml:space="preserve">Certaines balises HTML sont utilisées uniquement à des fins de présentation visuelle. </t>
  </si>
  <si>
    <t>8.10</t>
  </si>
  <si>
    <t>Dans certaines pages, les changements de sens de lecture ne sont pas signalés (attribut dir).</t>
  </si>
  <si>
    <t>9.1</t>
  </si>
  <si>
    <t>Dans certaines pages, l'information n'est pas structurée de manière appropriée par des titres (élément h1, h2, etc.).</t>
  </si>
  <si>
    <t>9.2</t>
  </si>
  <si>
    <t>Dans certaines pages, la structure du document n'est pas cohérente (régions landmarks).</t>
  </si>
  <si>
    <t>9.3</t>
  </si>
  <si>
    <t xml:space="preserve">Certaines listes ne sont pas balisées comme telles. </t>
  </si>
  <si>
    <t>9.4</t>
  </si>
  <si>
    <t>Certaines citations ne sont pas balisées comme telles.</t>
  </si>
  <si>
    <t>10.1</t>
  </si>
  <si>
    <t xml:space="preserve">La présentation de l'information est construite par des éléments HTML plutôt qu'avec du CSS. </t>
  </si>
  <si>
    <t>10.2</t>
  </si>
  <si>
    <t>Certaines informations disparaissent en désactivant le CSS.</t>
  </si>
  <si>
    <t>10.3</t>
  </si>
  <si>
    <t>Certaines informations deviennent incompréhensibles en désactivant le CSS.</t>
  </si>
  <si>
    <t>10.4</t>
  </si>
  <si>
    <t>Certains textes deviennent illisibles lorsque la taille des caractères est augmentée à 200 %.</t>
  </si>
  <si>
    <t>10.5</t>
  </si>
  <si>
    <t>Certaines déclarations CSS de couleur de fond et de police sont absentes.</t>
  </si>
  <si>
    <t>10.6</t>
  </si>
  <si>
    <t>Certains liens non évidents ne sont pas mis en évidence par une couleur contrastée et une modification d'affichage au focus du clavier ou au déplacement de la souris.</t>
  </si>
  <si>
    <t>10.7</t>
  </si>
  <si>
    <t>Sur certains éléments, le focus n'est pas visible à la navigation au clavier.</t>
  </si>
  <si>
    <t>10.8</t>
  </si>
  <si>
    <t xml:space="preserve">Certains contenus invisibles sont inutilement transmis par le lecteur d'écran. </t>
  </si>
  <si>
    <t>10.9</t>
  </si>
  <si>
    <t>Certaines informations sont données uniquement par la forme, la taille ou la position.</t>
  </si>
  <si>
    <t>10.10</t>
  </si>
  <si>
    <t>Certaines informations sont données uniquement par la forme, la taille ou la position du contenu.</t>
  </si>
  <si>
    <t>10.11</t>
  </si>
  <si>
    <t xml:space="preserve">Une partie du contenu est masquée  lorsque la largeur de l'écran est de 320 px. </t>
  </si>
  <si>
    <t>10.12</t>
  </si>
  <si>
    <t>Le changement des propriétés d'espacement du texte masque le contenu ou détériore des fonctionnalités.</t>
  </si>
  <si>
    <t>10.13</t>
  </si>
  <si>
    <t>Certains contenus apparaissant à la prise de focus ou au survol ne sont pas contrôlables par l’utilisateur.</t>
  </si>
  <si>
    <t>10.14</t>
  </si>
  <si>
    <t>Certains contenus additionnels apparaissant via CSS uniquement ne sont pas rendus visibles à la navigation au clavier.</t>
  </si>
  <si>
    <t>11.1</t>
  </si>
  <si>
    <t>Certains champs de formulaire n'ont pas d'étiquette.</t>
  </si>
  <si>
    <t>11.2</t>
  </si>
  <si>
    <t>Certains champs de formulaire ont une étiquette non pertinente.</t>
  </si>
  <si>
    <t>11.3</t>
  </si>
  <si>
    <t>Certains champs de formulaire répétés dans la même page n'ont pas d'étiquette cohérente.</t>
  </si>
  <si>
    <t>11.4</t>
  </si>
  <si>
    <t>Certaines étiquettes sont visuellement trop éloignées de leurs champs de formulaire.</t>
  </si>
  <si>
    <t>11.5</t>
  </si>
  <si>
    <t>Certains de champs de formulaire de même nature ne sont pas regroupés.</t>
  </si>
  <si>
    <t>11.6</t>
  </si>
  <si>
    <t>Certains regroupements de champs ne proposent pas de légende.</t>
  </si>
  <si>
    <t>11.7</t>
  </si>
  <si>
    <t>Certaines légendes de regroupements de champs ne sont pas pertinentes.</t>
  </si>
  <si>
    <t>11.8</t>
  </si>
  <si>
    <t>Certains éléments de liste de choix de même nature ne sont pas regroupés.</t>
  </si>
  <si>
    <t>11.9</t>
  </si>
  <si>
    <t>Certains boutons de formulaires n'ont pas d'intitulé pertinent.</t>
  </si>
  <si>
    <t>11.10</t>
  </si>
  <si>
    <t>Certains champs de formulaire ne contrôlent pas correctement la saisie.</t>
  </si>
  <si>
    <t>11.11</t>
  </si>
  <si>
    <t>Certains champs de formulaire ne proposent pas de suggestion de correction d'erreur de saisie.</t>
  </si>
  <si>
    <t>11.12</t>
  </si>
  <si>
    <t>Certains formulaires de modification, de suppression, d'examen ou à caractère financier ou juridique ne permettent pas de modifier, mettre à jour ou récupérer les données saisies.</t>
  </si>
  <si>
    <t>11.13</t>
  </si>
  <si>
    <t>Certains champs de formulaire ne facilitent pas le remplissage automatique.</t>
  </si>
  <si>
    <t>12.1</t>
  </si>
  <si>
    <t>Certaines pages ne proposent pas au moins deux systèmes de navigation (menu, plan du site, recherche…)</t>
  </si>
  <si>
    <t>12.2</t>
  </si>
  <si>
    <t>Dans certaines pages, le menu ou les barres de navigation ne sont pas toujours à la même place.</t>
  </si>
  <si>
    <t>12.3</t>
  </si>
  <si>
    <t>Le plan du site n'est pas pertinent.</t>
  </si>
  <si>
    <t>12.4</t>
  </si>
  <si>
    <t>Dans certaines pages, le plan du site n'est pas toujours accessible de la même façon.</t>
  </si>
  <si>
    <t>12.5</t>
  </si>
  <si>
    <t>Dans certaines pages, le moteur de recherche n'est pas toujours atteignable de la même façon.</t>
  </si>
  <si>
    <t>12.6</t>
  </si>
  <si>
    <t>Certaines régions de page ne sont pas balisées comme telles.</t>
  </si>
  <si>
    <t>12.7</t>
  </si>
  <si>
    <t>Dans certaines pages il n'y a pas de lien d'accès direct au contenu.</t>
  </si>
  <si>
    <t>12.8</t>
  </si>
  <si>
    <t xml:space="preserve">Dans certaines pages, l'ordre de tabulation n'est pas cohérent </t>
  </si>
  <si>
    <t>12.9</t>
  </si>
  <si>
    <t xml:space="preserve">Certaines pages contiennent un piège au clavier. </t>
  </si>
  <si>
    <t>12.10</t>
  </si>
  <si>
    <t>Certains raccourcis clavier ne peuvent être contrôlés par l'utilisateur.</t>
  </si>
  <si>
    <t>12.11</t>
  </si>
  <si>
    <t>Certains contenus additionnels apparaissant au focus du clavier ou au survol de la souris ne sont pas atteignables au clavier.</t>
  </si>
  <si>
    <t>13.1</t>
  </si>
  <si>
    <t>Dans certaines pages, l'utilisateur n'a pas le contrôle du temps de sa session de navigation.</t>
  </si>
  <si>
    <t>13.2</t>
  </si>
  <si>
    <t>De nouvelles fenêtres s'ouvrent sans le contrôle de l'utilisateur.</t>
  </si>
  <si>
    <t>13.3</t>
  </si>
  <si>
    <t>Certains documents bureautiques ne sont pas accessibles et n'ont pas d'alternative.</t>
  </si>
  <si>
    <t>13.4</t>
  </si>
  <si>
    <t>Certaines versions alternatives de documents bureautiques accessibles ne sont pas équivalentes.</t>
  </si>
  <si>
    <t>13.5</t>
  </si>
  <si>
    <t>Certains contenus cryptiques (art ASCII, émoticône, syntaxe cryptique) ne proposent pas d'alternative.</t>
  </si>
  <si>
    <t>13.6</t>
  </si>
  <si>
    <t>Certaines alternatives de contenus cryptiques (art ASCII, émoticon, syntaxe cryptique) ne sont pas équivalentes.</t>
  </si>
  <si>
    <t>13.7</t>
  </si>
  <si>
    <t>Certaines pages affichent des changements brusques de luminosité ou des flashs.</t>
  </si>
  <si>
    <t>13.8</t>
  </si>
  <si>
    <t xml:space="preserve">Certains contenus en mouvement ne peuvent pas être contrôlés par l'utilisateur. </t>
  </si>
  <si>
    <t>13.9</t>
  </si>
  <si>
    <t>Certains contenus ne sont plus consultables au changement d'orientation de l'écran.</t>
  </si>
  <si>
    <t>13.10</t>
  </si>
  <si>
    <t>Une fonctionnalité effectuée par un geste complexe (ex. : glisser-déposer) ne peut pas être réalisée par un geste simple.</t>
  </si>
  <si>
    <t>13.11</t>
  </si>
  <si>
    <t>Les actions effectuées au moyen d'un dispositif de pointage sur un point unique ne peuvent être annulées.</t>
  </si>
  <si>
    <t>13.12</t>
  </si>
  <si>
    <t xml:space="preserve">Une fonctionnalité impliquant un mouvement de l'appareil n'a pas d'alternative.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</si>
</sst>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rgb="FF000000"/>
      <name val="Calibri"/>
      <family val="2"/>
      <charset val="1"/>
    </font>
    <font>
      <u/>
      <sz val="11"/>
      <color rgb="FF0563C1"/>
      <name val="Calibri"/>
      <family val="2"/>
      <charset val="1"/>
    </font>
    <font>
      <u/>
      <sz val="11"/>
      <color theme="10"/>
      <name val="Aptos Narrow"/>
      <family val="2"/>
      <charset val="1"/>
    </font>
    <font>
      <sz val="11"/>
      <color theme="1"/>
      <name val="Aptos Narrow"/>
      <family val="2"/>
      <charset val="1"/>
    </font>
    <font>
      <sz val="11"/>
      <color theme="1"/>
      <name val="Calibri"/>
      <family val="2"/>
      <charset val="1"/>
    </font>
    <font>
      <sz val="11"/>
      <color rgb="FF1D1D1D"/>
      <name val="Calibri"/>
      <family val="2"/>
      <charset val="1"/>
    </font>
    <font>
      <sz val="11"/>
      <name val="Calibri"/>
      <family val="2"/>
      <charset val="1"/>
    </font>
    <font>
      <u/>
      <sz val="11"/>
      <color theme="10"/>
      <name val="Calibri"/>
      <family val="2"/>
      <charset val="1"/>
    </font>
    <font>
      <sz val="10"/>
      <color theme="1"/>
      <name val="Arial"/>
      <family val="2"/>
      <charset val="1"/>
    </font>
    <font>
      <b/>
      <sz val="11"/>
      <color rgb="FF000000"/>
      <name val="Calibri"/>
      <family val="2"/>
      <charset val="1"/>
    </font>
    <font>
      <b/>
      <sz val="11"/>
      <color rgb="FFFFFFFF"/>
      <name val="Calibri"/>
      <family val="2"/>
      <charset val="1"/>
    </font>
  </fonts>
  <fills count="6">
    <fill>
      <patternFill patternType="none"/>
    </fill>
    <fill>
      <patternFill patternType="gray125"/>
    </fill>
    <fill>
      <patternFill patternType="solid">
        <fgColor theme="4" tint="0.79979857783745845"/>
        <bgColor rgb="FFC2F1C8"/>
      </patternFill>
    </fill>
    <fill>
      <patternFill patternType="solid">
        <fgColor rgb="FFFBE5D6"/>
        <bgColor rgb="FFFFFFFF"/>
      </patternFill>
    </fill>
    <fill>
      <patternFill patternType="solid">
        <fgColor theme="5" tint="0.39979247413556324"/>
        <bgColor rgb="FFFF99CC"/>
      </patternFill>
    </fill>
    <fill>
      <patternFill patternType="solid">
        <fgColor rgb="FFFF0000"/>
        <bgColor rgb="FF993300"/>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s>
  <cellStyleXfs count="5">
    <xf numFmtId="0" fontId="0" fillId="0" borderId="0"/>
    <xf numFmtId="0" fontId="7" fillId="0" borderId="0" applyNumberFormat="0" applyFill="0" applyBorder="0" applyAlignment="0" applyProtection="0"/>
    <xf numFmtId="0" fontId="1" fillId="0" borderId="0"/>
    <xf numFmtId="0" fontId="2" fillId="0" borderId="0"/>
    <xf numFmtId="0" fontId="3" fillId="0" borderId="0"/>
  </cellStyleXfs>
  <cellXfs count="37">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2" xfId="0" applyBorder="1" applyAlignment="1">
      <alignment vertical="center"/>
    </xf>
    <xf numFmtId="0" fontId="0" fillId="0" borderId="1" xfId="0" applyBorder="1" applyAlignment="1">
      <alignment vertical="center"/>
    </xf>
    <xf numFmtId="0" fontId="4" fillId="2" borderId="1" xfId="0" applyFont="1" applyFill="1" applyBorder="1"/>
    <xf numFmtId="0" fontId="0" fillId="3" borderId="1" xfId="0" applyFill="1" applyBorder="1" applyAlignment="1">
      <alignment vertical="center"/>
    </xf>
    <xf numFmtId="0" fontId="0" fillId="4" borderId="1" xfId="0" applyFill="1" applyBorder="1" applyAlignment="1">
      <alignment horizontal="center" vertical="center"/>
    </xf>
    <xf numFmtId="0" fontId="0" fillId="4" borderId="1" xfId="0" applyFill="1" applyBorder="1" applyAlignment="1">
      <alignment horizontal="left" vertical="center"/>
    </xf>
    <xf numFmtId="0" fontId="0" fillId="4" borderId="2" xfId="0" applyFill="1" applyBorder="1" applyAlignment="1">
      <alignment vertical="center"/>
    </xf>
    <xf numFmtId="0" fontId="0" fillId="4" borderId="1" xfId="0" applyFill="1" applyBorder="1" applyAlignment="1">
      <alignment vertical="center"/>
    </xf>
    <xf numFmtId="0" fontId="0" fillId="0" borderId="3"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5" fillId="0" borderId="0" xfId="0" applyFont="1" applyAlignment="1">
      <alignment horizontal="center" vertical="center"/>
    </xf>
    <xf numFmtId="0" fontId="0" fillId="0" borderId="4" xfId="0" applyBorder="1" applyAlignment="1">
      <alignment vertical="center" wrapText="1"/>
    </xf>
    <xf numFmtId="0" fontId="6" fillId="0" borderId="1" xfId="0" applyFont="1" applyBorder="1" applyAlignment="1">
      <alignment vertical="center" wrapText="1"/>
    </xf>
    <xf numFmtId="0" fontId="1" fillId="0" borderId="1" xfId="0" applyFont="1" applyBorder="1" applyAlignment="1">
      <alignment vertical="center" wrapText="1"/>
    </xf>
    <xf numFmtId="0" fontId="7" fillId="0" borderId="1" xfId="0" applyFont="1" applyBorder="1" applyAlignment="1">
      <alignment vertical="center" wrapText="1"/>
    </xf>
    <xf numFmtId="0" fontId="0" fillId="0" borderId="1" xfId="0" applyBorder="1" applyAlignment="1">
      <alignment vertical="center" wrapText="1"/>
    </xf>
    <xf numFmtId="0" fontId="8" fillId="0" borderId="1" xfId="0" applyFont="1"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vertical="center" wrapText="1"/>
    </xf>
    <xf numFmtId="0" fontId="1" fillId="0" borderId="0" xfId="0" applyFont="1" applyAlignment="1">
      <alignment vertical="center"/>
    </xf>
    <xf numFmtId="0" fontId="0" fillId="0" borderId="0" xfId="0" applyAlignment="1">
      <alignment horizontal="center"/>
    </xf>
    <xf numFmtId="0" fontId="9" fillId="2" borderId="0" xfId="0" applyFont="1" applyFill="1" applyAlignment="1">
      <alignment horizontal="left" vertical="center"/>
    </xf>
    <xf numFmtId="0" fontId="9" fillId="2" borderId="0" xfId="0" applyFont="1" applyFill="1" applyAlignment="1">
      <alignment horizontal="center"/>
    </xf>
    <xf numFmtId="0" fontId="9" fillId="2" borderId="0" xfId="0" applyFont="1" applyFill="1"/>
    <xf numFmtId="0" fontId="0" fillId="5" borderId="0" xfId="0" applyFill="1"/>
    <xf numFmtId="0" fontId="10" fillId="5" borderId="5" xfId="0" applyFont="1" applyFill="1" applyBorder="1" applyAlignment="1">
      <alignment vertical="top" wrapText="1"/>
    </xf>
    <xf numFmtId="0" fontId="10" fillId="5" borderId="4" xfId="0" applyFont="1" applyFill="1" applyBorder="1" applyAlignment="1">
      <alignment vertical="top" wrapText="1"/>
    </xf>
    <xf numFmtId="0" fontId="6" fillId="5" borderId="1" xfId="0" applyFont="1" applyFill="1" applyBorder="1" applyAlignment="1">
      <alignment horizontal="left" vertical="top" wrapText="1"/>
    </xf>
    <xf numFmtId="49" fontId="6" fillId="5" borderId="1" xfId="0" applyNumberFormat="1" applyFont="1" applyFill="1" applyBorder="1" applyAlignment="1">
      <alignment horizontal="left" vertical="top" wrapText="1"/>
    </xf>
    <xf numFmtId="0" fontId="7" fillId="0" borderId="1" xfId="1" applyBorder="1" applyAlignment="1">
      <alignment vertical="center" wrapText="1"/>
    </xf>
  </cellXfs>
  <cellStyles count="5">
    <cellStyle name="Hyperlink 1" xfId="2" xr:uid="{00000000-0005-0000-0000-000006000000}"/>
    <cellStyle name="Hyperlink 2" xfId="3" xr:uid="{00000000-0005-0000-0000-000007000000}"/>
    <cellStyle name="Lien hypertexte" xfId="1" builtinId="8"/>
    <cellStyle name="Normal" xfId="0" builtinId="0"/>
    <cellStyle name="Normal 2" xfId="4" xr:uid="{00000000-0005-0000-0000-000008000000}"/>
  </cellStyles>
  <dxfs count="1">
    <dxf>
      <font>
        <sz val="11"/>
        <color rgb="FF000000"/>
        <name val="Calibri"/>
        <family val="2"/>
        <charset val="1"/>
      </font>
      <fill>
        <patternFill>
          <bgColor rgb="FFC2F1C8"/>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563C1"/>
      <rgbColor rgb="FFC1E5F5"/>
      <rgbColor rgb="FF000080"/>
      <rgbColor rgb="FFFF00FF"/>
      <rgbColor rgb="FFFFFF00"/>
      <rgbColor rgb="FF00FFFF"/>
      <rgbColor rgb="FF800080"/>
      <rgbColor rgb="FF800000"/>
      <rgbColor rgb="FF008080"/>
      <rgbColor rgb="FF0000FF"/>
      <rgbColor rgb="FF00CCFF"/>
      <rgbColor rgb="FFCCFFFF"/>
      <rgbColor rgb="FFC2F1C8"/>
      <rgbColor rgb="FFFFFF99"/>
      <rgbColor rgb="FF99CCFF"/>
      <rgbColor rgb="FFFF99CC"/>
      <rgbColor rgb="FFCC99FF"/>
      <rgbColor rgb="FFF2AA84"/>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1D1D1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3.org/WAI/WCAG22/quickref/?showtechniques=121" TargetMode="External"/><Relationship Id="rId2" Type="http://schemas.openxmlformats.org/officeDocument/2006/relationships/hyperlink" Target="https://www.w3.org/WAI/WCAG22/Techniques/general/G94" TargetMode="External"/><Relationship Id="rId1" Type="http://schemas.openxmlformats.org/officeDocument/2006/relationships/hyperlink" Target="https://www.w3.org/WAI/WCAG22/quickref/?versions=2.1&amp;showtechniques=121%2C122%2C111" TargetMode="External"/><Relationship Id="rId6" Type="http://schemas.openxmlformats.org/officeDocument/2006/relationships/hyperlink" Target="https://www.w3.org/WAI/WCAG22/Techniques/aria/ARIA25" TargetMode="External"/><Relationship Id="rId5" Type="http://schemas.openxmlformats.org/officeDocument/2006/relationships/hyperlink" Target="https://www.w3.org/WAI/WCAG22/Techniques/general/G158" TargetMode="External"/><Relationship Id="rId4" Type="http://schemas.openxmlformats.org/officeDocument/2006/relationships/hyperlink" Target="https://www.w3.org/WAI/WCAG22/quickref/?showtechniques=1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6"/>
  <sheetViews>
    <sheetView tabSelected="1" zoomScale="80" zoomScaleNormal="80" workbookViewId="0">
      <pane ySplit="1" topLeftCell="A393" activePane="bottomLeft" state="frozen"/>
      <selection pane="bottomLeft" activeCell="F402" sqref="F402"/>
    </sheetView>
  </sheetViews>
  <sheetFormatPr defaultColWidth="11.5703125" defaultRowHeight="14.45"/>
  <cols>
    <col min="1" max="1" width="27.7109375" style="1" customWidth="1"/>
    <col min="2" max="2" width="17.28515625" style="2" customWidth="1"/>
    <col min="3" max="3" width="16.140625" style="1" customWidth="1"/>
    <col min="4" max="4" width="21.7109375" style="1" customWidth="1"/>
    <col min="5" max="5" width="18.85546875" style="3" customWidth="1"/>
    <col min="6" max="6" width="56.140625" style="3" customWidth="1"/>
    <col min="7" max="7" width="21.140625" style="3" customWidth="1"/>
    <col min="8" max="9" width="16.85546875" style="3" customWidth="1"/>
    <col min="10" max="10" width="22.28515625" style="3" customWidth="1"/>
    <col min="11" max="11" width="41.7109375" style="3" customWidth="1"/>
    <col min="12" max="12" width="13.28515625" style="3" customWidth="1"/>
    <col min="13" max="13" width="58.7109375" style="3" customWidth="1"/>
    <col min="14" max="14" width="13.42578125" style="3" customWidth="1"/>
    <col min="15" max="15" width="13.28515625" style="4" customWidth="1"/>
    <col min="16" max="16" width="12.140625" style="5" customWidth="1"/>
    <col min="17" max="17" width="11.5703125" style="6"/>
    <col min="18" max="18" width="46.42578125" style="7" customWidth="1"/>
    <col min="19" max="16384" width="11.5703125" style="3"/>
  </cols>
  <sheetData>
    <row r="1" spans="1:18">
      <c r="A1" s="8" t="s">
        <v>0</v>
      </c>
      <c r="B1" s="8" t="s">
        <v>1</v>
      </c>
      <c r="C1" s="8" t="s">
        <v>2</v>
      </c>
      <c r="D1" s="8" t="s">
        <v>3</v>
      </c>
      <c r="E1" s="8" t="s">
        <v>4</v>
      </c>
      <c r="F1" s="8" t="s">
        <v>5</v>
      </c>
      <c r="G1" s="8" t="s">
        <v>6</v>
      </c>
      <c r="H1" s="8" t="s">
        <v>7</v>
      </c>
      <c r="I1" s="8" t="s">
        <v>8</v>
      </c>
      <c r="J1" s="8" t="s">
        <v>9</v>
      </c>
      <c r="K1" s="9" t="s">
        <v>10</v>
      </c>
      <c r="L1" s="9" t="s">
        <v>11</v>
      </c>
      <c r="M1" s="9" t="s">
        <v>12</v>
      </c>
      <c r="N1" s="9" t="s">
        <v>13</v>
      </c>
      <c r="O1" s="10" t="s">
        <v>14</v>
      </c>
      <c r="P1" s="11" t="s">
        <v>15</v>
      </c>
      <c r="Q1" s="12" t="s">
        <v>16</v>
      </c>
      <c r="R1" s="13" t="s">
        <v>17</v>
      </c>
    </row>
    <row r="2" spans="1:18" ht="216">
      <c r="A2" s="14" t="s">
        <v>18</v>
      </c>
      <c r="B2" s="15" t="s">
        <v>19</v>
      </c>
      <c r="C2" s="16" t="s">
        <v>20</v>
      </c>
      <c r="D2" s="17" t="s">
        <v>21</v>
      </c>
      <c r="E2" s="18" t="s">
        <v>22</v>
      </c>
      <c r="F2" s="19" t="s">
        <v>23</v>
      </c>
      <c r="G2" s="20" t="s">
        <v>24</v>
      </c>
      <c r="H2" s="21" t="s">
        <v>25</v>
      </c>
      <c r="I2" s="21" t="s">
        <v>26</v>
      </c>
      <c r="J2" s="22"/>
      <c r="K2" s="22"/>
      <c r="L2" s="22"/>
      <c r="M2" s="22"/>
      <c r="N2" s="22"/>
      <c r="O2" s="4">
        <f t="shared" ref="O2:O65" si="0">IFERROR(VALUE(LEFT(D2,FIND(".",D2)-1)),"")</f>
        <v>1</v>
      </c>
      <c r="P2" s="5" t="str">
        <f>IFERROR(VLOOKUP(O2,Principles!$B$4:$C$7,2,FALSE()),"")</f>
        <v>Perceivable</v>
      </c>
      <c r="Q2" s="6" t="str">
        <f>IFERROR(VLOOKUP(D2,Principles!$B$12:$D$66,3,FALSE()),"")</f>
        <v>A</v>
      </c>
      <c r="R2" s="23" t="s">
        <v>27</v>
      </c>
    </row>
    <row r="3" spans="1:18" ht="115.15">
      <c r="A3" s="14" t="s">
        <v>28</v>
      </c>
      <c r="B3" s="15" t="s">
        <v>19</v>
      </c>
      <c r="C3" s="16" t="s">
        <v>20</v>
      </c>
      <c r="D3" s="17" t="s">
        <v>21</v>
      </c>
      <c r="E3" s="18" t="s">
        <v>22</v>
      </c>
      <c r="F3" s="19" t="s">
        <v>29</v>
      </c>
      <c r="G3" s="20" t="s">
        <v>24</v>
      </c>
      <c r="H3" s="21" t="s">
        <v>25</v>
      </c>
      <c r="I3" s="21" t="s">
        <v>30</v>
      </c>
      <c r="J3" s="22"/>
      <c r="K3" s="22"/>
      <c r="L3" s="22"/>
      <c r="M3" s="22"/>
      <c r="N3" s="22"/>
      <c r="O3" s="4">
        <f t="shared" si="0"/>
        <v>1</v>
      </c>
      <c r="P3" s="5" t="str">
        <f>IFERROR(VLOOKUP(O3,Principles!$B$4:$C$7,2,FALSE()),"")</f>
        <v>Perceivable</v>
      </c>
      <c r="Q3" s="6" t="str">
        <f>IFERROR(VLOOKUP(D3,Principles!$B$12:$D$66,3,FALSE()),"")</f>
        <v>A</v>
      </c>
      <c r="R3" s="23" t="s">
        <v>27</v>
      </c>
    </row>
    <row r="4" spans="1:18" ht="144">
      <c r="A4" s="14" t="s">
        <v>31</v>
      </c>
      <c r="B4" s="15" t="s">
        <v>19</v>
      </c>
      <c r="C4" s="16" t="s">
        <v>20</v>
      </c>
      <c r="D4" s="17" t="s">
        <v>21</v>
      </c>
      <c r="E4" s="18" t="s">
        <v>22</v>
      </c>
      <c r="F4" s="19" t="s">
        <v>32</v>
      </c>
      <c r="G4" s="20" t="s">
        <v>24</v>
      </c>
      <c r="H4" s="21" t="s">
        <v>25</v>
      </c>
      <c r="I4" s="21" t="s">
        <v>33</v>
      </c>
      <c r="J4" s="22"/>
      <c r="K4" s="22"/>
      <c r="L4" s="22"/>
      <c r="M4" s="22"/>
      <c r="N4" s="22"/>
      <c r="O4" s="4">
        <f t="shared" si="0"/>
        <v>1</v>
      </c>
      <c r="P4" s="5" t="str">
        <f>IFERROR(VLOOKUP(O4,Principles!$B$4:$C$7,2,FALSE()),"")</f>
        <v>Perceivable</v>
      </c>
      <c r="Q4" s="6" t="str">
        <f>IFERROR(VLOOKUP(D4,Principles!$B$12:$D$66,3,FALSE()),"")</f>
        <v>A</v>
      </c>
      <c r="R4" s="23" t="s">
        <v>27</v>
      </c>
    </row>
    <row r="5" spans="1:18" ht="144">
      <c r="A5" s="14" t="s">
        <v>34</v>
      </c>
      <c r="B5" s="15" t="s">
        <v>19</v>
      </c>
      <c r="C5" s="16" t="s">
        <v>20</v>
      </c>
      <c r="D5" s="17" t="s">
        <v>21</v>
      </c>
      <c r="E5" s="18" t="s">
        <v>22</v>
      </c>
      <c r="F5" s="19" t="s">
        <v>35</v>
      </c>
      <c r="G5" s="20" t="s">
        <v>24</v>
      </c>
      <c r="H5" s="21" t="s">
        <v>25</v>
      </c>
      <c r="I5" s="21" t="s">
        <v>36</v>
      </c>
      <c r="J5" s="22"/>
      <c r="K5" s="22"/>
      <c r="L5" s="22"/>
      <c r="M5" s="22"/>
      <c r="N5" s="22"/>
      <c r="O5" s="4">
        <f t="shared" si="0"/>
        <v>1</v>
      </c>
      <c r="P5" s="5" t="str">
        <f>IFERROR(VLOOKUP(O5,Principles!$B$4:$C$7,2,FALSE()),"")</f>
        <v>Perceivable</v>
      </c>
      <c r="Q5" s="6" t="str">
        <f>IFERROR(VLOOKUP(D5,Principles!$B$12:$D$66,3,FALSE()),"")</f>
        <v>A</v>
      </c>
      <c r="R5" s="23" t="s">
        <v>27</v>
      </c>
    </row>
    <row r="6" spans="1:18" ht="144">
      <c r="A6" s="14" t="s">
        <v>37</v>
      </c>
      <c r="B6" s="15" t="s">
        <v>19</v>
      </c>
      <c r="C6" s="16" t="s">
        <v>20</v>
      </c>
      <c r="D6" s="17" t="s">
        <v>21</v>
      </c>
      <c r="E6" s="18" t="s">
        <v>22</v>
      </c>
      <c r="F6" s="19" t="s">
        <v>38</v>
      </c>
      <c r="G6" s="20" t="s">
        <v>24</v>
      </c>
      <c r="H6" s="21" t="s">
        <v>25</v>
      </c>
      <c r="I6" s="21" t="s">
        <v>39</v>
      </c>
      <c r="J6" s="22"/>
      <c r="K6" s="22"/>
      <c r="L6" s="22"/>
      <c r="M6" s="22"/>
      <c r="N6" s="22"/>
      <c r="O6" s="4">
        <f t="shared" si="0"/>
        <v>1</v>
      </c>
      <c r="P6" s="5" t="str">
        <f>IFERROR(VLOOKUP(O6,Principles!$B$4:$C$7,2,FALSE()),"")</f>
        <v>Perceivable</v>
      </c>
      <c r="Q6" s="6" t="str">
        <f>IFERROR(VLOOKUP(D6,Principles!$B$12:$D$66,3,FALSE()),"")</f>
        <v>A</v>
      </c>
      <c r="R6" s="23" t="s">
        <v>27</v>
      </c>
    </row>
    <row r="7" spans="1:18" ht="144">
      <c r="A7" s="14" t="s">
        <v>40</v>
      </c>
      <c r="B7" s="15" t="s">
        <v>19</v>
      </c>
      <c r="C7" s="16" t="s">
        <v>20</v>
      </c>
      <c r="D7" s="17" t="s">
        <v>21</v>
      </c>
      <c r="E7" s="18" t="s">
        <v>22</v>
      </c>
      <c r="F7" s="19" t="s">
        <v>41</v>
      </c>
      <c r="G7" s="20" t="s">
        <v>24</v>
      </c>
      <c r="H7" s="21" t="s">
        <v>25</v>
      </c>
      <c r="I7" s="21" t="s">
        <v>42</v>
      </c>
      <c r="J7" s="22"/>
      <c r="K7" s="22"/>
      <c r="L7" s="22"/>
      <c r="M7" s="22"/>
      <c r="N7" s="22"/>
      <c r="O7" s="4">
        <f t="shared" si="0"/>
        <v>1</v>
      </c>
      <c r="P7" s="5" t="str">
        <f>IFERROR(VLOOKUP(O7,Principles!$B$4:$C$7,2,FALSE()),"")</f>
        <v>Perceivable</v>
      </c>
      <c r="Q7" s="6" t="str">
        <f>IFERROR(VLOOKUP(D7,Principles!$B$12:$D$66,3,FALSE()),"")</f>
        <v>A</v>
      </c>
      <c r="R7" s="23" t="s">
        <v>27</v>
      </c>
    </row>
    <row r="8" spans="1:18" ht="129.6">
      <c r="A8" s="14" t="s">
        <v>43</v>
      </c>
      <c r="B8" s="15" t="s">
        <v>19</v>
      </c>
      <c r="C8" s="16" t="s">
        <v>20</v>
      </c>
      <c r="D8" s="17" t="s">
        <v>21</v>
      </c>
      <c r="E8" s="18" t="s">
        <v>22</v>
      </c>
      <c r="F8" s="19" t="s">
        <v>44</v>
      </c>
      <c r="G8" s="20" t="s">
        <v>24</v>
      </c>
      <c r="H8" s="21" t="s">
        <v>25</v>
      </c>
      <c r="I8" s="21" t="s">
        <v>45</v>
      </c>
      <c r="J8" s="22"/>
      <c r="K8" s="22"/>
      <c r="L8" s="22"/>
      <c r="M8" s="22"/>
      <c r="N8" s="22"/>
      <c r="O8" s="4">
        <f t="shared" si="0"/>
        <v>1</v>
      </c>
      <c r="P8" s="5" t="str">
        <f>IFERROR(VLOOKUP(O8,Principles!$B$4:$C$7,2,FALSE()),"")</f>
        <v>Perceivable</v>
      </c>
      <c r="Q8" s="6" t="str">
        <f>IFERROR(VLOOKUP(D8,Principles!$B$12:$D$66,3,FALSE()),"")</f>
        <v>A</v>
      </c>
      <c r="R8" s="23" t="s">
        <v>27</v>
      </c>
    </row>
    <row r="9" spans="1:18" ht="187.15">
      <c r="A9" s="14" t="s">
        <v>46</v>
      </c>
      <c r="B9" s="15" t="s">
        <v>19</v>
      </c>
      <c r="C9" s="16" t="s">
        <v>20</v>
      </c>
      <c r="D9" s="17" t="s">
        <v>21</v>
      </c>
      <c r="E9" s="18" t="s">
        <v>22</v>
      </c>
      <c r="F9" s="19" t="s">
        <v>47</v>
      </c>
      <c r="G9" s="20" t="s">
        <v>24</v>
      </c>
      <c r="H9" s="21" t="s">
        <v>25</v>
      </c>
      <c r="I9" s="21" t="s">
        <v>48</v>
      </c>
      <c r="J9" s="22"/>
      <c r="K9" s="22"/>
      <c r="L9" s="22"/>
      <c r="M9" s="22"/>
      <c r="N9" s="22"/>
      <c r="O9" s="4">
        <f t="shared" si="0"/>
        <v>1</v>
      </c>
      <c r="P9" s="5" t="str">
        <f>IFERROR(VLOOKUP(O9,Principles!$B$4:$C$7,2,FALSE()),"")</f>
        <v>Perceivable</v>
      </c>
      <c r="Q9" s="6" t="str">
        <f>IFERROR(VLOOKUP(D9,Principles!$B$12:$D$66,3,FALSE()),"")</f>
        <v>A</v>
      </c>
      <c r="R9" s="23" t="s">
        <v>27</v>
      </c>
    </row>
    <row r="10" spans="1:18" ht="201.6">
      <c r="A10" s="14" t="s">
        <v>49</v>
      </c>
      <c r="B10" s="15" t="s">
        <v>19</v>
      </c>
      <c r="C10" s="16" t="s">
        <v>20</v>
      </c>
      <c r="D10" s="17" t="s">
        <v>21</v>
      </c>
      <c r="E10" s="18" t="s">
        <v>22</v>
      </c>
      <c r="F10" s="19" t="s">
        <v>50</v>
      </c>
      <c r="G10" s="20" t="s">
        <v>24</v>
      </c>
      <c r="H10" s="21" t="s">
        <v>25</v>
      </c>
      <c r="I10" s="21" t="s">
        <v>51</v>
      </c>
      <c r="J10" s="22"/>
      <c r="K10" s="22"/>
      <c r="L10" s="22"/>
      <c r="M10" s="22"/>
      <c r="N10" s="22"/>
      <c r="O10" s="4">
        <f t="shared" si="0"/>
        <v>1</v>
      </c>
      <c r="P10" s="5" t="str">
        <f>IFERROR(VLOOKUP(O10,Principles!$B$4:$C$7,2,FALSE()),"")</f>
        <v>Perceivable</v>
      </c>
      <c r="Q10" s="6" t="str">
        <f>IFERROR(VLOOKUP(D10,Principles!$B$12:$D$66,3,FALSE()),"")</f>
        <v>A</v>
      </c>
      <c r="R10" s="23" t="s">
        <v>27</v>
      </c>
    </row>
    <row r="11" spans="1:18" ht="187.15">
      <c r="A11" s="14" t="s">
        <v>52</v>
      </c>
      <c r="B11" s="15" t="s">
        <v>19</v>
      </c>
      <c r="C11" s="16" t="s">
        <v>20</v>
      </c>
      <c r="D11" s="17" t="s">
        <v>21</v>
      </c>
      <c r="E11" s="18" t="s">
        <v>22</v>
      </c>
      <c r="F11" s="19" t="s">
        <v>53</v>
      </c>
      <c r="G11" s="20" t="s">
        <v>24</v>
      </c>
      <c r="H11" s="21" t="s">
        <v>25</v>
      </c>
      <c r="I11" s="21" t="s">
        <v>54</v>
      </c>
      <c r="J11" s="22"/>
      <c r="K11" s="22"/>
      <c r="L11" s="22"/>
      <c r="M11" s="22"/>
      <c r="N11" s="22"/>
      <c r="O11" s="4">
        <f t="shared" si="0"/>
        <v>1</v>
      </c>
      <c r="P11" s="5" t="str">
        <f>IFERROR(VLOOKUP(O11,Principles!$B$4:$C$7,2,FALSE()),"")</f>
        <v>Perceivable</v>
      </c>
      <c r="Q11" s="6" t="str">
        <f>IFERROR(VLOOKUP(D11,Principles!$B$12:$D$66,3,FALSE()),"")</f>
        <v>A</v>
      </c>
      <c r="R11" s="23" t="s">
        <v>27</v>
      </c>
    </row>
    <row r="12" spans="1:18" ht="144">
      <c r="A12" s="14" t="s">
        <v>55</v>
      </c>
      <c r="B12" s="15" t="s">
        <v>19</v>
      </c>
      <c r="C12" s="16" t="s">
        <v>20</v>
      </c>
      <c r="D12" s="17" t="s">
        <v>21</v>
      </c>
      <c r="E12" s="18" t="s">
        <v>22</v>
      </c>
      <c r="F12" s="19" t="s">
        <v>56</v>
      </c>
      <c r="G12" s="20" t="s">
        <v>24</v>
      </c>
      <c r="H12" s="21" t="s">
        <v>25</v>
      </c>
      <c r="I12" s="21" t="s">
        <v>57</v>
      </c>
      <c r="J12" s="22"/>
      <c r="K12" s="22"/>
      <c r="L12" s="22"/>
      <c r="M12" s="22"/>
      <c r="N12" s="22"/>
      <c r="O12" s="4">
        <f t="shared" si="0"/>
        <v>1</v>
      </c>
      <c r="P12" s="5" t="str">
        <f>IFERROR(VLOOKUP(O12,Principles!$B$4:$C$7,2,FALSE()),"")</f>
        <v>Perceivable</v>
      </c>
      <c r="Q12" s="6" t="str">
        <f>IFERROR(VLOOKUP(D12,Principles!$B$12:$D$66,3,FALSE()),"")</f>
        <v>A</v>
      </c>
      <c r="R12" s="23" t="s">
        <v>27</v>
      </c>
    </row>
    <row r="13" spans="1:18" ht="129.6">
      <c r="A13" s="14" t="s">
        <v>58</v>
      </c>
      <c r="B13" s="15" t="s">
        <v>19</v>
      </c>
      <c r="C13" s="16" t="s">
        <v>20</v>
      </c>
      <c r="D13" s="17" t="s">
        <v>21</v>
      </c>
      <c r="E13" s="18" t="s">
        <v>22</v>
      </c>
      <c r="F13" s="19" t="s">
        <v>59</v>
      </c>
      <c r="G13" s="20" t="s">
        <v>24</v>
      </c>
      <c r="H13" s="21" t="s">
        <v>25</v>
      </c>
      <c r="I13" s="21" t="s">
        <v>60</v>
      </c>
      <c r="J13" s="22"/>
      <c r="K13" s="22"/>
      <c r="L13" s="22"/>
      <c r="M13" s="22"/>
      <c r="N13" s="22"/>
      <c r="O13" s="4">
        <f t="shared" si="0"/>
        <v>1</v>
      </c>
      <c r="P13" s="5" t="str">
        <f>IFERROR(VLOOKUP(O13,Principles!$B$4:$C$7,2,FALSE()),"")</f>
        <v>Perceivable</v>
      </c>
      <c r="Q13" s="6" t="str">
        <f>IFERROR(VLOOKUP(D13,Principles!$B$12:$D$66,3,FALSE()),"")</f>
        <v>A</v>
      </c>
      <c r="R13" s="23" t="s">
        <v>27</v>
      </c>
    </row>
    <row r="14" spans="1:18" ht="244.9">
      <c r="A14" s="14" t="s">
        <v>61</v>
      </c>
      <c r="B14" s="15" t="s">
        <v>19</v>
      </c>
      <c r="C14" s="16" t="s">
        <v>20</v>
      </c>
      <c r="D14" s="17" t="s">
        <v>21</v>
      </c>
      <c r="E14" s="18" t="s">
        <v>22</v>
      </c>
      <c r="F14" s="19" t="s">
        <v>62</v>
      </c>
      <c r="G14" s="20" t="s">
        <v>24</v>
      </c>
      <c r="H14" s="21" t="s">
        <v>25</v>
      </c>
      <c r="I14" s="21" t="s">
        <v>63</v>
      </c>
      <c r="J14" s="22"/>
      <c r="K14" s="22"/>
      <c r="L14" s="22"/>
      <c r="M14" s="22"/>
      <c r="N14" s="22"/>
      <c r="O14" s="4">
        <f t="shared" si="0"/>
        <v>1</v>
      </c>
      <c r="P14" s="5" t="str">
        <f>IFERROR(VLOOKUP(O14,Principles!$B$4:$C$7,2,FALSE()),"")</f>
        <v>Perceivable</v>
      </c>
      <c r="Q14" s="6" t="str">
        <f>IFERROR(VLOOKUP(D14,Principles!$B$12:$D$66,3,FALSE()),"")</f>
        <v>A</v>
      </c>
      <c r="R14" s="23" t="s">
        <v>27</v>
      </c>
    </row>
    <row r="15" spans="1:18" ht="187.15">
      <c r="A15" s="14" t="s">
        <v>64</v>
      </c>
      <c r="B15" s="15" t="s">
        <v>19</v>
      </c>
      <c r="C15" s="16" t="s">
        <v>20</v>
      </c>
      <c r="D15" s="17" t="s">
        <v>21</v>
      </c>
      <c r="E15" s="18" t="s">
        <v>22</v>
      </c>
      <c r="F15" s="19" t="s">
        <v>65</v>
      </c>
      <c r="G15" s="20" t="s">
        <v>24</v>
      </c>
      <c r="H15" s="21" t="s">
        <v>25</v>
      </c>
      <c r="I15" s="21" t="s">
        <v>66</v>
      </c>
      <c r="J15" s="22"/>
      <c r="K15" s="22"/>
      <c r="L15" s="22"/>
      <c r="M15" s="22"/>
      <c r="N15" s="22"/>
      <c r="O15" s="4">
        <f t="shared" si="0"/>
        <v>1</v>
      </c>
      <c r="P15" s="5" t="str">
        <f>IFERROR(VLOOKUP(O15,Principles!$B$4:$C$7,2,FALSE()),"")</f>
        <v>Perceivable</v>
      </c>
      <c r="Q15" s="6" t="str">
        <f>IFERROR(VLOOKUP(D15,Principles!$B$12:$D$66,3,FALSE()),"")</f>
        <v>A</v>
      </c>
      <c r="R15" s="23" t="s">
        <v>27</v>
      </c>
    </row>
    <row r="16" spans="1:18" ht="201.6">
      <c r="A16" s="14" t="s">
        <v>67</v>
      </c>
      <c r="B16" s="15" t="s">
        <v>19</v>
      </c>
      <c r="C16" s="16" t="s">
        <v>20</v>
      </c>
      <c r="D16" s="17" t="s">
        <v>21</v>
      </c>
      <c r="E16" s="18" t="s">
        <v>22</v>
      </c>
      <c r="F16" s="19" t="s">
        <v>68</v>
      </c>
      <c r="G16" s="20" t="s">
        <v>24</v>
      </c>
      <c r="H16" s="21" t="s">
        <v>25</v>
      </c>
      <c r="I16" s="21" t="s">
        <v>69</v>
      </c>
      <c r="J16" s="22"/>
      <c r="K16" s="22"/>
      <c r="L16" s="22"/>
      <c r="M16" s="22"/>
      <c r="N16" s="22"/>
      <c r="O16" s="4">
        <f t="shared" si="0"/>
        <v>1</v>
      </c>
      <c r="P16" s="5" t="str">
        <f>IFERROR(VLOOKUP(O16,Principles!$B$4:$C$7,2,FALSE()),"")</f>
        <v>Perceivable</v>
      </c>
      <c r="Q16" s="6" t="str">
        <f>IFERROR(VLOOKUP(D16,Principles!$B$12:$D$66,3,FALSE()),"")</f>
        <v>A</v>
      </c>
      <c r="R16" s="23" t="s">
        <v>27</v>
      </c>
    </row>
    <row r="17" spans="1:18" ht="158.44999999999999">
      <c r="A17" s="14" t="s">
        <v>70</v>
      </c>
      <c r="B17" s="15" t="s">
        <v>19</v>
      </c>
      <c r="C17" s="16" t="s">
        <v>20</v>
      </c>
      <c r="D17" s="17" t="s">
        <v>21</v>
      </c>
      <c r="E17" s="18" t="s">
        <v>22</v>
      </c>
      <c r="F17" s="19" t="s">
        <v>71</v>
      </c>
      <c r="G17" s="20" t="s">
        <v>24</v>
      </c>
      <c r="H17" s="21" t="s">
        <v>25</v>
      </c>
      <c r="I17" s="21" t="s">
        <v>72</v>
      </c>
      <c r="J17" s="22"/>
      <c r="K17" s="22"/>
      <c r="L17" s="22"/>
      <c r="M17" s="22"/>
      <c r="N17" s="22"/>
      <c r="O17" s="4">
        <f t="shared" si="0"/>
        <v>1</v>
      </c>
      <c r="P17" s="5" t="str">
        <f>IFERROR(VLOOKUP(O17,Principles!$B$4:$C$7,2,FALSE()),"")</f>
        <v>Perceivable</v>
      </c>
      <c r="Q17" s="6" t="str">
        <f>IFERROR(VLOOKUP(D17,Principles!$B$12:$D$66,3,FALSE()),"")</f>
        <v>A</v>
      </c>
      <c r="R17" s="23" t="s">
        <v>27</v>
      </c>
    </row>
    <row r="18" spans="1:18" ht="144">
      <c r="A18" s="14" t="s">
        <v>73</v>
      </c>
      <c r="B18" s="15" t="s">
        <v>19</v>
      </c>
      <c r="C18" s="16" t="s">
        <v>20</v>
      </c>
      <c r="D18" s="17" t="s">
        <v>21</v>
      </c>
      <c r="E18" s="18" t="s">
        <v>22</v>
      </c>
      <c r="F18" s="19" t="s">
        <v>74</v>
      </c>
      <c r="G18" s="20" t="s">
        <v>24</v>
      </c>
      <c r="H18" s="21" t="s">
        <v>25</v>
      </c>
      <c r="I18" s="21" t="s">
        <v>75</v>
      </c>
      <c r="J18" s="22"/>
      <c r="K18" s="22"/>
      <c r="L18" s="22"/>
      <c r="M18" s="22"/>
      <c r="N18" s="22"/>
      <c r="O18" s="4">
        <f t="shared" si="0"/>
        <v>1</v>
      </c>
      <c r="P18" s="5" t="str">
        <f>IFERROR(VLOOKUP(O18,Principles!$B$4:$C$7,2,FALSE()),"")</f>
        <v>Perceivable</v>
      </c>
      <c r="Q18" s="6" t="str">
        <f>IFERROR(VLOOKUP(D18,Principles!$B$12:$D$66,3,FALSE()),"")</f>
        <v>A</v>
      </c>
      <c r="R18" s="23" t="s">
        <v>27</v>
      </c>
    </row>
    <row r="19" spans="1:18" ht="230.45">
      <c r="A19" s="14" t="s">
        <v>76</v>
      </c>
      <c r="B19" s="15" t="s">
        <v>19</v>
      </c>
      <c r="C19" s="16" t="s">
        <v>20</v>
      </c>
      <c r="D19" s="17" t="s">
        <v>21</v>
      </c>
      <c r="E19" s="18" t="s">
        <v>22</v>
      </c>
      <c r="F19" s="19" t="s">
        <v>77</v>
      </c>
      <c r="G19" s="20" t="s">
        <v>24</v>
      </c>
      <c r="H19" s="21" t="s">
        <v>25</v>
      </c>
      <c r="I19" s="21" t="s">
        <v>78</v>
      </c>
      <c r="J19" s="22"/>
      <c r="K19" s="22"/>
      <c r="L19" s="22"/>
      <c r="M19" s="22"/>
      <c r="N19" s="22"/>
      <c r="O19" s="4">
        <f t="shared" si="0"/>
        <v>1</v>
      </c>
      <c r="P19" s="5" t="str">
        <f>IFERROR(VLOOKUP(O19,Principles!$B$4:$C$7,2,FALSE()),"")</f>
        <v>Perceivable</v>
      </c>
      <c r="Q19" s="6" t="str">
        <f>IFERROR(VLOOKUP(D19,Principles!$B$12:$D$66,3,FALSE()),"")</f>
        <v>A</v>
      </c>
      <c r="R19" s="23" t="s">
        <v>27</v>
      </c>
    </row>
    <row r="20" spans="1:18" ht="129.6">
      <c r="A20" s="14" t="s">
        <v>79</v>
      </c>
      <c r="B20" s="15" t="s">
        <v>19</v>
      </c>
      <c r="C20" s="16" t="s">
        <v>20</v>
      </c>
      <c r="D20" s="17" t="s">
        <v>21</v>
      </c>
      <c r="E20" s="18" t="s">
        <v>22</v>
      </c>
      <c r="F20" s="19" t="s">
        <v>80</v>
      </c>
      <c r="G20" s="20" t="s">
        <v>24</v>
      </c>
      <c r="H20" s="21" t="s">
        <v>25</v>
      </c>
      <c r="I20" s="21" t="s">
        <v>81</v>
      </c>
      <c r="J20" s="22"/>
      <c r="K20" s="22"/>
      <c r="L20" s="22"/>
      <c r="M20" s="22"/>
      <c r="N20" s="22"/>
      <c r="O20" s="4">
        <f t="shared" si="0"/>
        <v>1</v>
      </c>
      <c r="P20" s="5" t="str">
        <f>IFERROR(VLOOKUP(O20,Principles!$B$4:$C$7,2,FALSE()),"")</f>
        <v>Perceivable</v>
      </c>
      <c r="Q20" s="6" t="str">
        <f>IFERROR(VLOOKUP(D20,Principles!$B$12:$D$66,3,FALSE()),"")</f>
        <v>A</v>
      </c>
      <c r="R20" s="23" t="s">
        <v>27</v>
      </c>
    </row>
    <row r="21" spans="1:18" ht="158.44999999999999">
      <c r="A21" s="14" t="s">
        <v>82</v>
      </c>
      <c r="B21" s="15" t="s">
        <v>19</v>
      </c>
      <c r="C21" s="16" t="s">
        <v>20</v>
      </c>
      <c r="D21" s="17" t="s">
        <v>21</v>
      </c>
      <c r="E21" s="18" t="s">
        <v>22</v>
      </c>
      <c r="F21" s="19" t="s">
        <v>83</v>
      </c>
      <c r="G21" s="20" t="s">
        <v>24</v>
      </c>
      <c r="H21" s="21" t="s">
        <v>25</v>
      </c>
      <c r="I21" s="21" t="s">
        <v>84</v>
      </c>
      <c r="J21" s="22"/>
      <c r="K21" s="22"/>
      <c r="L21" s="22"/>
      <c r="M21" s="22"/>
      <c r="N21" s="22"/>
      <c r="O21" s="4">
        <f t="shared" si="0"/>
        <v>1</v>
      </c>
      <c r="P21" s="5" t="str">
        <f>IFERROR(VLOOKUP(O21,Principles!$B$4:$C$7,2,FALSE()),"")</f>
        <v>Perceivable</v>
      </c>
      <c r="Q21" s="6" t="str">
        <f>IFERROR(VLOOKUP(D21,Principles!$B$12:$D$66,3,FALSE()),"")</f>
        <v>A</v>
      </c>
      <c r="R21" s="23" t="s">
        <v>27</v>
      </c>
    </row>
    <row r="22" spans="1:18" ht="288">
      <c r="A22" s="14" t="s">
        <v>85</v>
      </c>
      <c r="B22" s="15" t="s">
        <v>19</v>
      </c>
      <c r="C22" s="16" t="s">
        <v>20</v>
      </c>
      <c r="D22" s="17" t="s">
        <v>21</v>
      </c>
      <c r="E22" s="18" t="s">
        <v>22</v>
      </c>
      <c r="F22" s="19" t="s">
        <v>86</v>
      </c>
      <c r="G22" s="20" t="s">
        <v>24</v>
      </c>
      <c r="H22" s="21" t="s">
        <v>25</v>
      </c>
      <c r="I22" s="21" t="s">
        <v>87</v>
      </c>
      <c r="J22" s="22"/>
      <c r="K22" s="22"/>
      <c r="L22" s="22"/>
      <c r="M22" s="22"/>
      <c r="N22" s="22"/>
      <c r="O22" s="4">
        <f t="shared" si="0"/>
        <v>1</v>
      </c>
      <c r="P22" s="5" t="str">
        <f>IFERROR(VLOOKUP(O22,Principles!$B$4:$C$7,2,FALSE()),"")</f>
        <v>Perceivable</v>
      </c>
      <c r="Q22" s="6" t="str">
        <f>IFERROR(VLOOKUP(D22,Principles!$B$12:$D$66,3,FALSE()),"")</f>
        <v>A</v>
      </c>
      <c r="R22" s="23" t="s">
        <v>27</v>
      </c>
    </row>
    <row r="23" spans="1:18" ht="100.9">
      <c r="A23" s="14" t="s">
        <v>88</v>
      </c>
      <c r="B23" s="15" t="s">
        <v>19</v>
      </c>
      <c r="C23" s="16" t="s">
        <v>20</v>
      </c>
      <c r="D23" s="17" t="s">
        <v>21</v>
      </c>
      <c r="E23" s="18" t="s">
        <v>22</v>
      </c>
      <c r="F23" s="19" t="s">
        <v>89</v>
      </c>
      <c r="G23" s="20" t="s">
        <v>24</v>
      </c>
      <c r="H23" s="21" t="s">
        <v>25</v>
      </c>
      <c r="I23" s="21" t="s">
        <v>90</v>
      </c>
      <c r="J23" s="22"/>
      <c r="K23" s="22"/>
      <c r="L23" s="22"/>
      <c r="M23" s="22"/>
      <c r="N23" s="22"/>
      <c r="O23" s="4">
        <f t="shared" si="0"/>
        <v>1</v>
      </c>
      <c r="P23" s="5" t="str">
        <f>IFERROR(VLOOKUP(O23,Principles!$B$4:$C$7,2,FALSE()),"")</f>
        <v>Perceivable</v>
      </c>
      <c r="Q23" s="6" t="str">
        <f>IFERROR(VLOOKUP(D23,Principles!$B$12:$D$66,3,FALSE()),"")</f>
        <v>A</v>
      </c>
      <c r="R23" s="23" t="s">
        <v>27</v>
      </c>
    </row>
    <row r="24" spans="1:18" ht="187.15">
      <c r="A24" s="14" t="s">
        <v>91</v>
      </c>
      <c r="B24" s="15" t="s">
        <v>19</v>
      </c>
      <c r="C24" s="16" t="s">
        <v>20</v>
      </c>
      <c r="D24" s="17" t="s">
        <v>21</v>
      </c>
      <c r="E24" s="18" t="s">
        <v>22</v>
      </c>
      <c r="F24" s="19" t="s">
        <v>92</v>
      </c>
      <c r="G24" s="20" t="s">
        <v>24</v>
      </c>
      <c r="H24" s="21" t="s">
        <v>25</v>
      </c>
      <c r="I24" s="21" t="s">
        <v>93</v>
      </c>
      <c r="J24" s="22"/>
      <c r="K24" s="22"/>
      <c r="L24" s="22"/>
      <c r="M24" s="22"/>
      <c r="N24" s="22"/>
      <c r="O24" s="4">
        <f t="shared" si="0"/>
        <v>1</v>
      </c>
      <c r="P24" s="5" t="str">
        <f>IFERROR(VLOOKUP(O24,Principles!$B$4:$C$7,2,FALSE()),"")</f>
        <v>Perceivable</v>
      </c>
      <c r="Q24" s="6" t="str">
        <f>IFERROR(VLOOKUP(D24,Principles!$B$12:$D$66,3,FALSE()),"")</f>
        <v>A</v>
      </c>
      <c r="R24" s="23" t="s">
        <v>27</v>
      </c>
    </row>
    <row r="25" spans="1:18" ht="129.6">
      <c r="A25" s="14" t="s">
        <v>94</v>
      </c>
      <c r="B25" s="15" t="s">
        <v>19</v>
      </c>
      <c r="C25" s="16" t="s">
        <v>20</v>
      </c>
      <c r="D25" s="17" t="s">
        <v>21</v>
      </c>
      <c r="E25" s="18" t="s">
        <v>22</v>
      </c>
      <c r="F25" s="19" t="s">
        <v>95</v>
      </c>
      <c r="G25" s="20" t="s">
        <v>24</v>
      </c>
      <c r="H25" s="21" t="s">
        <v>25</v>
      </c>
      <c r="I25" s="21" t="s">
        <v>96</v>
      </c>
      <c r="J25" s="22"/>
      <c r="K25" s="22"/>
      <c r="L25" s="22"/>
      <c r="M25" s="22"/>
      <c r="N25" s="22"/>
      <c r="O25" s="4">
        <f t="shared" si="0"/>
        <v>1</v>
      </c>
      <c r="P25" s="5" t="str">
        <f>IFERROR(VLOOKUP(O25,Principles!$B$4:$C$7,2,FALSE()),"")</f>
        <v>Perceivable</v>
      </c>
      <c r="Q25" s="6" t="str">
        <f>IFERROR(VLOOKUP(D25,Principles!$B$12:$D$66,3,FALSE()),"")</f>
        <v>A</v>
      </c>
      <c r="R25" s="23" t="s">
        <v>27</v>
      </c>
    </row>
    <row r="26" spans="1:18" ht="216">
      <c r="A26" s="14" t="s">
        <v>97</v>
      </c>
      <c r="B26" s="15" t="s">
        <v>19</v>
      </c>
      <c r="C26" s="16" t="s">
        <v>20</v>
      </c>
      <c r="D26" s="17" t="s">
        <v>21</v>
      </c>
      <c r="E26" s="18" t="s">
        <v>22</v>
      </c>
      <c r="F26" s="19" t="s">
        <v>98</v>
      </c>
      <c r="G26" s="20" t="s">
        <v>24</v>
      </c>
      <c r="H26" s="21" t="s">
        <v>25</v>
      </c>
      <c r="I26" s="21" t="s">
        <v>99</v>
      </c>
      <c r="J26" s="22"/>
      <c r="K26" s="22"/>
      <c r="L26" s="22"/>
      <c r="M26" s="22"/>
      <c r="N26" s="22"/>
      <c r="O26" s="4">
        <f t="shared" si="0"/>
        <v>1</v>
      </c>
      <c r="P26" s="5" t="str">
        <f>IFERROR(VLOOKUP(O26,Principles!$B$4:$C$7,2,FALSE()),"")</f>
        <v>Perceivable</v>
      </c>
      <c r="Q26" s="6" t="str">
        <f>IFERROR(VLOOKUP(D26,Principles!$B$12:$D$66,3,FALSE()),"")</f>
        <v>A</v>
      </c>
      <c r="R26" s="23" t="s">
        <v>27</v>
      </c>
    </row>
    <row r="27" spans="1:18" ht="100.9">
      <c r="A27" s="14" t="s">
        <v>100</v>
      </c>
      <c r="B27" s="15" t="s">
        <v>19</v>
      </c>
      <c r="C27" s="16" t="s">
        <v>20</v>
      </c>
      <c r="D27" s="17" t="s">
        <v>21</v>
      </c>
      <c r="E27" s="18" t="s">
        <v>22</v>
      </c>
      <c r="F27" s="19" t="s">
        <v>101</v>
      </c>
      <c r="G27" s="20" t="s">
        <v>24</v>
      </c>
      <c r="H27" s="21" t="s">
        <v>25</v>
      </c>
      <c r="I27" s="21" t="s">
        <v>102</v>
      </c>
      <c r="J27" s="22"/>
      <c r="K27" s="22"/>
      <c r="L27" s="22"/>
      <c r="M27" s="22"/>
      <c r="N27" s="22"/>
      <c r="O27" s="4">
        <f t="shared" si="0"/>
        <v>1</v>
      </c>
      <c r="P27" s="5" t="str">
        <f>IFERROR(VLOOKUP(O27,Principles!$B$4:$C$7,2,FALSE()),"")</f>
        <v>Perceivable</v>
      </c>
      <c r="Q27" s="6" t="str">
        <f>IFERROR(VLOOKUP(D27,Principles!$B$12:$D$66,3,FALSE()),"")</f>
        <v>A</v>
      </c>
      <c r="R27" s="23" t="s">
        <v>27</v>
      </c>
    </row>
    <row r="28" spans="1:18" ht="288">
      <c r="A28" s="14" t="s">
        <v>103</v>
      </c>
      <c r="B28" s="15" t="s">
        <v>19</v>
      </c>
      <c r="C28" s="16" t="s">
        <v>20</v>
      </c>
      <c r="D28" s="17" t="s">
        <v>21</v>
      </c>
      <c r="E28" s="18" t="s">
        <v>22</v>
      </c>
      <c r="F28" s="19" t="s">
        <v>104</v>
      </c>
      <c r="G28" s="20" t="s">
        <v>24</v>
      </c>
      <c r="H28" s="21" t="s">
        <v>25</v>
      </c>
      <c r="I28" s="21" t="s">
        <v>105</v>
      </c>
      <c r="J28" s="22"/>
      <c r="K28" s="22"/>
      <c r="L28" s="22"/>
      <c r="M28" s="22"/>
      <c r="N28" s="22"/>
      <c r="O28" s="4">
        <f t="shared" si="0"/>
        <v>1</v>
      </c>
      <c r="P28" s="5" t="str">
        <f>IFERROR(VLOOKUP(O28,Principles!$B$4:$C$7,2,FALSE()),"")</f>
        <v>Perceivable</v>
      </c>
      <c r="Q28" s="6" t="str">
        <f>IFERROR(VLOOKUP(D28,Principles!$B$12:$D$66,3,FALSE()),"")</f>
        <v>A</v>
      </c>
      <c r="R28" s="23" t="s">
        <v>27</v>
      </c>
    </row>
    <row r="29" spans="1:18" ht="288">
      <c r="A29" s="14" t="s">
        <v>106</v>
      </c>
      <c r="B29" s="15" t="s">
        <v>19</v>
      </c>
      <c r="C29" s="16" t="s">
        <v>20</v>
      </c>
      <c r="D29" s="17" t="s">
        <v>21</v>
      </c>
      <c r="E29" s="18" t="s">
        <v>22</v>
      </c>
      <c r="F29" s="19" t="s">
        <v>107</v>
      </c>
      <c r="G29" s="20" t="s">
        <v>24</v>
      </c>
      <c r="H29" s="21" t="s">
        <v>25</v>
      </c>
      <c r="I29" s="21" t="s">
        <v>108</v>
      </c>
      <c r="J29" s="22"/>
      <c r="K29" s="22"/>
      <c r="L29" s="22"/>
      <c r="M29" s="22"/>
      <c r="N29" s="22"/>
      <c r="O29" s="4">
        <f t="shared" si="0"/>
        <v>1</v>
      </c>
      <c r="P29" s="5" t="str">
        <f>IFERROR(VLOOKUP(O29,Principles!$B$4:$C$7,2,FALSE()),"")</f>
        <v>Perceivable</v>
      </c>
      <c r="Q29" s="6" t="str">
        <f>IFERROR(VLOOKUP(D29,Principles!$B$12:$D$66,3,FALSE()),"")</f>
        <v>A</v>
      </c>
      <c r="R29" s="23" t="s">
        <v>27</v>
      </c>
    </row>
    <row r="30" spans="1:18" ht="201.6">
      <c r="A30" s="14" t="s">
        <v>109</v>
      </c>
      <c r="B30" s="15" t="s">
        <v>19</v>
      </c>
      <c r="C30" s="16" t="s">
        <v>20</v>
      </c>
      <c r="D30" s="17" t="s">
        <v>21</v>
      </c>
      <c r="E30" s="18" t="s">
        <v>22</v>
      </c>
      <c r="F30" s="19" t="s">
        <v>110</v>
      </c>
      <c r="G30" s="20" t="s">
        <v>24</v>
      </c>
      <c r="H30" s="21" t="s">
        <v>25</v>
      </c>
      <c r="I30" s="21" t="s">
        <v>111</v>
      </c>
      <c r="J30" s="22"/>
      <c r="K30" s="22"/>
      <c r="L30" s="22"/>
      <c r="M30" s="22"/>
      <c r="N30" s="22"/>
      <c r="O30" s="4">
        <f t="shared" si="0"/>
        <v>1</v>
      </c>
      <c r="P30" s="5" t="str">
        <f>IFERROR(VLOOKUP(O30,Principles!$B$4:$C$7,2,FALSE()),"")</f>
        <v>Perceivable</v>
      </c>
      <c r="Q30" s="6" t="str">
        <f>IFERROR(VLOOKUP(D30,Principles!$B$12:$D$66,3,FALSE()),"")</f>
        <v>A</v>
      </c>
      <c r="R30" s="23" t="s">
        <v>27</v>
      </c>
    </row>
    <row r="31" spans="1:18" ht="187.15">
      <c r="A31" s="14" t="s">
        <v>112</v>
      </c>
      <c r="B31" s="15" t="s">
        <v>19</v>
      </c>
      <c r="C31" s="16" t="s">
        <v>20</v>
      </c>
      <c r="D31" s="17" t="s">
        <v>21</v>
      </c>
      <c r="E31" s="18" t="s">
        <v>22</v>
      </c>
      <c r="F31" s="19" t="s">
        <v>113</v>
      </c>
      <c r="G31" s="20" t="s">
        <v>24</v>
      </c>
      <c r="H31" s="21" t="s">
        <v>25</v>
      </c>
      <c r="I31" s="21" t="s">
        <v>114</v>
      </c>
      <c r="J31" s="22"/>
      <c r="K31" s="22"/>
      <c r="L31" s="22"/>
      <c r="M31" s="22"/>
      <c r="N31" s="22"/>
      <c r="O31" s="4">
        <f t="shared" si="0"/>
        <v>1</v>
      </c>
      <c r="P31" s="5" t="str">
        <f>IFERROR(VLOOKUP(O31,Principles!$B$4:$C$7,2,FALSE()),"")</f>
        <v>Perceivable</v>
      </c>
      <c r="Q31" s="6" t="str">
        <f>IFERROR(VLOOKUP(D31,Principles!$B$12:$D$66,3,FALSE()),"")</f>
        <v>A</v>
      </c>
      <c r="R31" s="23" t="s">
        <v>27</v>
      </c>
    </row>
    <row r="32" spans="1:18" ht="158.44999999999999">
      <c r="A32" s="14" t="s">
        <v>115</v>
      </c>
      <c r="B32" s="15" t="s">
        <v>19</v>
      </c>
      <c r="C32" s="16" t="s">
        <v>20</v>
      </c>
      <c r="D32" s="17" t="s">
        <v>21</v>
      </c>
      <c r="E32" s="18" t="s">
        <v>22</v>
      </c>
      <c r="F32" s="19" t="s">
        <v>116</v>
      </c>
      <c r="G32" s="20" t="s">
        <v>24</v>
      </c>
      <c r="H32" s="21" t="s">
        <v>25</v>
      </c>
      <c r="I32" s="21" t="s">
        <v>117</v>
      </c>
      <c r="J32" s="22"/>
      <c r="K32" s="22"/>
      <c r="L32" s="22"/>
      <c r="M32" s="22"/>
      <c r="N32" s="22"/>
      <c r="O32" s="4">
        <f t="shared" si="0"/>
        <v>1</v>
      </c>
      <c r="P32" s="5" t="str">
        <f>IFERROR(VLOOKUP(O32,Principles!$B$4:$C$7,2,FALSE()),"")</f>
        <v>Perceivable</v>
      </c>
      <c r="Q32" s="6" t="str">
        <f>IFERROR(VLOOKUP(D32,Principles!$B$12:$D$66,3,FALSE()),"")</f>
        <v>A</v>
      </c>
      <c r="R32" s="23" t="s">
        <v>27</v>
      </c>
    </row>
    <row r="33" spans="1:18" ht="158.44999999999999">
      <c r="A33" s="14" t="s">
        <v>118</v>
      </c>
      <c r="B33" s="15" t="s">
        <v>19</v>
      </c>
      <c r="C33" s="16" t="s">
        <v>20</v>
      </c>
      <c r="D33" s="17" t="s">
        <v>21</v>
      </c>
      <c r="E33" s="18" t="s">
        <v>22</v>
      </c>
      <c r="F33" s="19" t="s">
        <v>119</v>
      </c>
      <c r="G33" s="20" t="s">
        <v>24</v>
      </c>
      <c r="H33" s="21" t="s">
        <v>25</v>
      </c>
      <c r="I33" s="21" t="s">
        <v>120</v>
      </c>
      <c r="J33" s="22"/>
      <c r="K33" s="22"/>
      <c r="L33" s="22"/>
      <c r="M33" s="22"/>
      <c r="N33" s="22"/>
      <c r="O33" s="4">
        <f t="shared" si="0"/>
        <v>1</v>
      </c>
      <c r="P33" s="5" t="str">
        <f>IFERROR(VLOOKUP(O33,Principles!$B$4:$C$7,2,FALSE()),"")</f>
        <v>Perceivable</v>
      </c>
      <c r="Q33" s="6" t="str">
        <f>IFERROR(VLOOKUP(D33,Principles!$B$12:$D$66,3,FALSE()),"")</f>
        <v>A</v>
      </c>
      <c r="R33" s="23" t="s">
        <v>27</v>
      </c>
    </row>
    <row r="34" spans="1:18" ht="201.6">
      <c r="A34" s="14" t="s">
        <v>121</v>
      </c>
      <c r="B34" s="15" t="s">
        <v>19</v>
      </c>
      <c r="C34" s="16" t="s">
        <v>20</v>
      </c>
      <c r="D34" s="17" t="s">
        <v>21</v>
      </c>
      <c r="E34" s="18" t="s">
        <v>22</v>
      </c>
      <c r="F34" s="19" t="s">
        <v>122</v>
      </c>
      <c r="G34" s="20" t="s">
        <v>24</v>
      </c>
      <c r="H34" s="21" t="s">
        <v>25</v>
      </c>
      <c r="I34" s="21" t="s">
        <v>123</v>
      </c>
      <c r="J34" s="22"/>
      <c r="K34" s="22"/>
      <c r="L34" s="22"/>
      <c r="M34" s="22"/>
      <c r="N34" s="22"/>
      <c r="O34" s="4">
        <f t="shared" si="0"/>
        <v>1</v>
      </c>
      <c r="P34" s="5" t="str">
        <f>IFERROR(VLOOKUP(O34,Principles!$B$4:$C$7,2,FALSE()),"")</f>
        <v>Perceivable</v>
      </c>
      <c r="Q34" s="6" t="str">
        <f>IFERROR(VLOOKUP(D34,Principles!$B$12:$D$66,3,FALSE()),"")</f>
        <v>A</v>
      </c>
      <c r="R34" s="23" t="s">
        <v>27</v>
      </c>
    </row>
    <row r="35" spans="1:18" ht="187.15">
      <c r="A35" s="14" t="s">
        <v>124</v>
      </c>
      <c r="B35" s="15" t="s">
        <v>19</v>
      </c>
      <c r="C35" s="16" t="s">
        <v>20</v>
      </c>
      <c r="D35" s="17" t="s">
        <v>21</v>
      </c>
      <c r="E35" s="18" t="s">
        <v>22</v>
      </c>
      <c r="F35" s="19" t="s">
        <v>125</v>
      </c>
      <c r="G35" s="20" t="s">
        <v>24</v>
      </c>
      <c r="H35" s="21" t="s">
        <v>25</v>
      </c>
      <c r="I35" s="21" t="s">
        <v>126</v>
      </c>
      <c r="J35" s="22"/>
      <c r="K35" s="22"/>
      <c r="L35" s="22"/>
      <c r="M35" s="22"/>
      <c r="N35" s="22"/>
      <c r="O35" s="4">
        <f t="shared" si="0"/>
        <v>1</v>
      </c>
      <c r="P35" s="5" t="str">
        <f>IFERROR(VLOOKUP(O35,Principles!$B$4:$C$7,2,FALSE()),"")</f>
        <v>Perceivable</v>
      </c>
      <c r="Q35" s="6" t="str">
        <f>IFERROR(VLOOKUP(D35,Principles!$B$12:$D$66,3,FALSE()),"")</f>
        <v>A</v>
      </c>
      <c r="R35" s="23" t="s">
        <v>27</v>
      </c>
    </row>
    <row r="36" spans="1:18" ht="273.60000000000002">
      <c r="A36" s="14" t="s">
        <v>127</v>
      </c>
      <c r="B36" s="15" t="s">
        <v>19</v>
      </c>
      <c r="C36" s="16" t="s">
        <v>20</v>
      </c>
      <c r="D36" s="17" t="s">
        <v>21</v>
      </c>
      <c r="E36" s="18" t="s">
        <v>22</v>
      </c>
      <c r="F36" s="19" t="s">
        <v>128</v>
      </c>
      <c r="G36" s="20" t="s">
        <v>24</v>
      </c>
      <c r="H36" s="21" t="s">
        <v>25</v>
      </c>
      <c r="I36" s="21" t="s">
        <v>129</v>
      </c>
      <c r="J36" s="22"/>
      <c r="K36" s="22"/>
      <c r="L36" s="22"/>
      <c r="M36" s="22"/>
      <c r="N36" s="22"/>
      <c r="O36" s="4">
        <f t="shared" si="0"/>
        <v>1</v>
      </c>
      <c r="P36" s="5" t="str">
        <f>IFERROR(VLOOKUP(O36,Principles!$B$4:$C$7,2,FALSE()),"")</f>
        <v>Perceivable</v>
      </c>
      <c r="Q36" s="6" t="str">
        <f>IFERROR(VLOOKUP(D36,Principles!$B$12:$D$66,3,FALSE()),"")</f>
        <v>A</v>
      </c>
      <c r="R36" s="23" t="s">
        <v>27</v>
      </c>
    </row>
    <row r="37" spans="1:18" ht="172.9">
      <c r="A37" s="14" t="s">
        <v>130</v>
      </c>
      <c r="B37" s="15" t="s">
        <v>19</v>
      </c>
      <c r="C37" s="16" t="s">
        <v>20</v>
      </c>
      <c r="D37" s="17" t="s">
        <v>21</v>
      </c>
      <c r="E37" s="18" t="s">
        <v>22</v>
      </c>
      <c r="F37" s="19" t="s">
        <v>131</v>
      </c>
      <c r="G37" s="20" t="s">
        <v>24</v>
      </c>
      <c r="H37" s="21" t="s">
        <v>25</v>
      </c>
      <c r="I37" s="21" t="s">
        <v>132</v>
      </c>
      <c r="J37" s="22"/>
      <c r="K37" s="22"/>
      <c r="L37" s="22"/>
      <c r="M37" s="22"/>
      <c r="N37" s="22"/>
      <c r="O37" s="4">
        <f t="shared" si="0"/>
        <v>1</v>
      </c>
      <c r="P37" s="5" t="str">
        <f>IFERROR(VLOOKUP(O37,Principles!$B$4:$C$7,2,FALSE()),"")</f>
        <v>Perceivable</v>
      </c>
      <c r="Q37" s="6" t="str">
        <f>IFERROR(VLOOKUP(D37,Principles!$B$12:$D$66,3,FALSE()),"")</f>
        <v>A</v>
      </c>
      <c r="R37" s="23" t="s">
        <v>27</v>
      </c>
    </row>
    <row r="38" spans="1:18" ht="201.6">
      <c r="A38" s="14" t="s">
        <v>133</v>
      </c>
      <c r="B38" s="15" t="s">
        <v>19</v>
      </c>
      <c r="C38" s="16" t="s">
        <v>20</v>
      </c>
      <c r="D38" s="17" t="s">
        <v>21</v>
      </c>
      <c r="E38" s="18" t="s">
        <v>22</v>
      </c>
      <c r="F38" s="19" t="s">
        <v>134</v>
      </c>
      <c r="G38" s="20" t="s">
        <v>24</v>
      </c>
      <c r="H38" s="21" t="s">
        <v>25</v>
      </c>
      <c r="I38" s="21" t="s">
        <v>135</v>
      </c>
      <c r="J38" s="22"/>
      <c r="K38" s="22"/>
      <c r="L38" s="22"/>
      <c r="M38" s="22"/>
      <c r="N38" s="22"/>
      <c r="O38" s="4">
        <f t="shared" si="0"/>
        <v>1</v>
      </c>
      <c r="P38" s="5" t="str">
        <f>IFERROR(VLOOKUP(O38,Principles!$B$4:$C$7,2,FALSE()),"")</f>
        <v>Perceivable</v>
      </c>
      <c r="Q38" s="6" t="str">
        <f>IFERROR(VLOOKUP(D38,Principles!$B$12:$D$66,3,FALSE()),"")</f>
        <v>A</v>
      </c>
      <c r="R38" s="23" t="s">
        <v>27</v>
      </c>
    </row>
    <row r="39" spans="1:18" ht="158.44999999999999">
      <c r="A39" s="14" t="s">
        <v>136</v>
      </c>
      <c r="B39" s="15" t="s">
        <v>19</v>
      </c>
      <c r="C39" s="16" t="s">
        <v>20</v>
      </c>
      <c r="D39" s="17" t="s">
        <v>21</v>
      </c>
      <c r="E39" s="18" t="s">
        <v>22</v>
      </c>
      <c r="F39" s="19" t="s">
        <v>137</v>
      </c>
      <c r="G39" s="20" t="s">
        <v>24</v>
      </c>
      <c r="H39" s="21" t="s">
        <v>25</v>
      </c>
      <c r="I39" s="21" t="s">
        <v>138</v>
      </c>
      <c r="J39" s="22"/>
      <c r="K39" s="22"/>
      <c r="L39" s="22"/>
      <c r="M39" s="22"/>
      <c r="N39" s="22"/>
      <c r="O39" s="4">
        <f t="shared" si="0"/>
        <v>1</v>
      </c>
      <c r="P39" s="5" t="str">
        <f>IFERROR(VLOOKUP(O39,Principles!$B$4:$C$7,2,FALSE()),"")</f>
        <v>Perceivable</v>
      </c>
      <c r="Q39" s="6" t="str">
        <f>IFERROR(VLOOKUP(D39,Principles!$B$12:$D$66,3,FALSE()),"")</f>
        <v>A</v>
      </c>
      <c r="R39" s="23" t="s">
        <v>27</v>
      </c>
    </row>
    <row r="40" spans="1:18" ht="302.45">
      <c r="A40" s="14" t="s">
        <v>139</v>
      </c>
      <c r="B40" s="15" t="s">
        <v>140</v>
      </c>
      <c r="C40" s="16" t="s">
        <v>141</v>
      </c>
      <c r="D40" s="24" t="s">
        <v>142</v>
      </c>
      <c r="E40" s="25" t="s">
        <v>143</v>
      </c>
      <c r="F40" s="22" t="s">
        <v>144</v>
      </c>
      <c r="G40" s="21" t="s">
        <v>145</v>
      </c>
      <c r="H40" s="21" t="s">
        <v>146</v>
      </c>
      <c r="I40" s="21" t="s">
        <v>147</v>
      </c>
      <c r="J40" s="22"/>
      <c r="K40" s="22"/>
      <c r="L40" s="22"/>
      <c r="M40" s="22"/>
      <c r="N40" s="22"/>
      <c r="O40" s="4">
        <f t="shared" si="0"/>
        <v>1</v>
      </c>
      <c r="P40" s="5" t="str">
        <f>IFERROR(VLOOKUP(O40,Principles!$B$4:$C$7,2,FALSE()),"")</f>
        <v>Perceivable</v>
      </c>
      <c r="Q40" s="6" t="str">
        <f>IFERROR(VLOOKUP(D40,Principles!$B$12:$D$66,3,FALSE()),"")</f>
        <v>A</v>
      </c>
      <c r="R40" s="23" t="s">
        <v>148</v>
      </c>
    </row>
    <row r="41" spans="1:18" ht="345.6">
      <c r="A41" s="14" t="s">
        <v>149</v>
      </c>
      <c r="B41" s="15" t="s">
        <v>140</v>
      </c>
      <c r="C41" s="16" t="s">
        <v>141</v>
      </c>
      <c r="D41" s="24" t="s">
        <v>142</v>
      </c>
      <c r="E41" s="25" t="s">
        <v>143</v>
      </c>
      <c r="F41" s="22" t="s">
        <v>150</v>
      </c>
      <c r="G41" s="21" t="s">
        <v>145</v>
      </c>
      <c r="H41" s="21" t="s">
        <v>146</v>
      </c>
      <c r="I41" s="21" t="s">
        <v>151</v>
      </c>
      <c r="J41" s="22"/>
      <c r="K41" s="22"/>
      <c r="L41" s="22"/>
      <c r="M41" s="22"/>
      <c r="N41" s="22"/>
      <c r="O41" s="4">
        <f t="shared" si="0"/>
        <v>1</v>
      </c>
      <c r="P41" s="5" t="str">
        <f>IFERROR(VLOOKUP(O41,Principles!$B$4:$C$7,2,FALSE()),"")</f>
        <v>Perceivable</v>
      </c>
      <c r="Q41" s="6" t="str">
        <f>IFERROR(VLOOKUP(D41,Principles!$B$12:$D$66,3,FALSE()),"")</f>
        <v>A</v>
      </c>
      <c r="R41" s="23" t="s">
        <v>148</v>
      </c>
    </row>
    <row r="42" spans="1:18" ht="211.15">
      <c r="A42" s="14" t="s">
        <v>152</v>
      </c>
      <c r="B42" s="15" t="s">
        <v>140</v>
      </c>
      <c r="C42" s="16" t="s">
        <v>141</v>
      </c>
      <c r="D42" s="24" t="s">
        <v>142</v>
      </c>
      <c r="E42" s="25" t="s">
        <v>143</v>
      </c>
      <c r="F42" s="22" t="s">
        <v>153</v>
      </c>
      <c r="G42" s="21" t="s">
        <v>145</v>
      </c>
      <c r="H42" s="21" t="s">
        <v>146</v>
      </c>
      <c r="I42" s="21" t="s">
        <v>154</v>
      </c>
      <c r="J42" s="22"/>
      <c r="K42" s="22"/>
      <c r="L42" s="22"/>
      <c r="M42" s="22"/>
      <c r="N42" s="22"/>
      <c r="O42" s="4">
        <f t="shared" si="0"/>
        <v>1</v>
      </c>
      <c r="P42" s="5" t="str">
        <f>IFERROR(VLOOKUP(O42,Principles!$B$4:$C$7,2,FALSE()),"")</f>
        <v>Perceivable</v>
      </c>
      <c r="Q42" s="6" t="str">
        <f>IFERROR(VLOOKUP(D42,Principles!$B$12:$D$66,3,FALSE()),"")</f>
        <v>A</v>
      </c>
      <c r="R42" s="23" t="s">
        <v>148</v>
      </c>
    </row>
    <row r="43" spans="1:18" ht="211.15">
      <c r="A43" s="14" t="s">
        <v>118</v>
      </c>
      <c r="B43" s="15" t="s">
        <v>140</v>
      </c>
      <c r="C43" s="16" t="s">
        <v>141</v>
      </c>
      <c r="D43" s="24" t="s">
        <v>142</v>
      </c>
      <c r="E43" s="25" t="s">
        <v>143</v>
      </c>
      <c r="F43" s="22" t="s">
        <v>119</v>
      </c>
      <c r="G43" s="21" t="s">
        <v>145</v>
      </c>
      <c r="H43" s="21" t="s">
        <v>146</v>
      </c>
      <c r="I43" s="21" t="s">
        <v>120</v>
      </c>
      <c r="J43" s="22"/>
      <c r="K43" s="22"/>
      <c r="L43" s="22"/>
      <c r="M43" s="22"/>
      <c r="N43" s="22"/>
      <c r="O43" s="4">
        <f t="shared" si="0"/>
        <v>1</v>
      </c>
      <c r="P43" s="5" t="str">
        <f>IFERROR(VLOOKUP(O43,Principles!$B$4:$C$7,2,FALSE()),"")</f>
        <v>Perceivable</v>
      </c>
      <c r="Q43" s="6" t="str">
        <f>IFERROR(VLOOKUP(D43,Principles!$B$12:$D$66,3,FALSE()),"")</f>
        <v>A</v>
      </c>
      <c r="R43" s="23" t="s">
        <v>148</v>
      </c>
    </row>
    <row r="44" spans="1:18" ht="211.15">
      <c r="A44" s="14" t="s">
        <v>130</v>
      </c>
      <c r="B44" s="15" t="s">
        <v>140</v>
      </c>
      <c r="C44" s="16" t="s">
        <v>141</v>
      </c>
      <c r="D44" s="24" t="s">
        <v>142</v>
      </c>
      <c r="E44" s="25" t="s">
        <v>143</v>
      </c>
      <c r="F44" s="22" t="s">
        <v>131</v>
      </c>
      <c r="G44" s="21" t="s">
        <v>145</v>
      </c>
      <c r="H44" s="21" t="s">
        <v>146</v>
      </c>
      <c r="I44" s="21" t="s">
        <v>132</v>
      </c>
      <c r="J44" s="22"/>
      <c r="K44" s="22"/>
      <c r="L44" s="22"/>
      <c r="M44" s="22"/>
      <c r="N44" s="22"/>
      <c r="O44" s="4">
        <f t="shared" si="0"/>
        <v>1</v>
      </c>
      <c r="P44" s="5" t="str">
        <f>IFERROR(VLOOKUP(O44,Principles!$B$4:$C$7,2,FALSE()),"")</f>
        <v>Perceivable</v>
      </c>
      <c r="Q44" s="6" t="str">
        <f>IFERROR(VLOOKUP(D44,Principles!$B$12:$D$66,3,FALSE()),"")</f>
        <v>A</v>
      </c>
      <c r="R44" s="23" t="s">
        <v>148</v>
      </c>
    </row>
    <row r="45" spans="1:18" ht="129.6">
      <c r="A45" s="14" t="s">
        <v>155</v>
      </c>
      <c r="B45" s="15" t="s">
        <v>140</v>
      </c>
      <c r="C45" s="16" t="s">
        <v>141</v>
      </c>
      <c r="D45" s="24" t="s">
        <v>156</v>
      </c>
      <c r="E45" s="25" t="s">
        <v>157</v>
      </c>
      <c r="F45" s="22" t="s">
        <v>158</v>
      </c>
      <c r="G45" s="21" t="s">
        <v>145</v>
      </c>
      <c r="H45" s="21" t="s">
        <v>159</v>
      </c>
      <c r="I45" s="21" t="s">
        <v>160</v>
      </c>
      <c r="J45" s="22"/>
      <c r="K45" s="22"/>
      <c r="L45" s="22"/>
      <c r="M45" s="22"/>
      <c r="N45" s="22"/>
      <c r="O45" s="4">
        <f t="shared" si="0"/>
        <v>1</v>
      </c>
      <c r="P45" s="5" t="str">
        <f>IFERROR(VLOOKUP(O45,Principles!$B$4:$C$7,2,FALSE()),"")</f>
        <v>Perceivable</v>
      </c>
      <c r="Q45" s="6" t="str">
        <f>IFERROR(VLOOKUP(D45,Principles!$B$12:$D$66,3,FALSE()),"")</f>
        <v>A</v>
      </c>
      <c r="R45" s="23" t="s">
        <v>161</v>
      </c>
    </row>
    <row r="46" spans="1:18" ht="129.6">
      <c r="A46" s="14" t="s">
        <v>162</v>
      </c>
      <c r="B46" s="15" t="s">
        <v>140</v>
      </c>
      <c r="C46" s="16" t="s">
        <v>141</v>
      </c>
      <c r="D46" s="24" t="s">
        <v>156</v>
      </c>
      <c r="E46" s="25" t="s">
        <v>157</v>
      </c>
      <c r="F46" s="22" t="s">
        <v>163</v>
      </c>
      <c r="G46" s="21" t="s">
        <v>145</v>
      </c>
      <c r="H46" s="21" t="s">
        <v>159</v>
      </c>
      <c r="I46" s="21" t="s">
        <v>164</v>
      </c>
      <c r="J46" s="22"/>
      <c r="K46" s="22"/>
      <c r="L46" s="22"/>
      <c r="M46" s="22"/>
      <c r="N46" s="22"/>
      <c r="O46" s="4">
        <f t="shared" si="0"/>
        <v>1</v>
      </c>
      <c r="P46" s="5" t="str">
        <f>IFERROR(VLOOKUP(O46,Principles!$B$4:$C$7,2,FALSE()),"")</f>
        <v>Perceivable</v>
      </c>
      <c r="Q46" s="6" t="str">
        <f>IFERROR(VLOOKUP(D46,Principles!$B$12:$D$66,3,FALSE()),"")</f>
        <v>A</v>
      </c>
      <c r="R46" s="23" t="s">
        <v>161</v>
      </c>
    </row>
    <row r="47" spans="1:18" ht="115.15">
      <c r="A47" s="14" t="s">
        <v>165</v>
      </c>
      <c r="B47" s="15" t="s">
        <v>140</v>
      </c>
      <c r="C47" s="16" t="s">
        <v>141</v>
      </c>
      <c r="D47" s="24" t="s">
        <v>156</v>
      </c>
      <c r="E47" s="25" t="s">
        <v>157</v>
      </c>
      <c r="F47" s="22" t="s">
        <v>166</v>
      </c>
      <c r="G47" s="21" t="s">
        <v>145</v>
      </c>
      <c r="H47" s="21" t="s">
        <v>159</v>
      </c>
      <c r="I47" s="21" t="s">
        <v>167</v>
      </c>
      <c r="J47" s="22"/>
      <c r="K47" s="22"/>
      <c r="L47" s="22"/>
      <c r="M47" s="22"/>
      <c r="N47" s="22"/>
      <c r="O47" s="4">
        <f t="shared" si="0"/>
        <v>1</v>
      </c>
      <c r="P47" s="5" t="str">
        <f>IFERROR(VLOOKUP(O47,Principles!$B$4:$C$7,2,FALSE()),"")</f>
        <v>Perceivable</v>
      </c>
      <c r="Q47" s="6" t="str">
        <f>IFERROR(VLOOKUP(D47,Principles!$B$12:$D$66,3,FALSE()),"")</f>
        <v>A</v>
      </c>
      <c r="R47" s="23" t="s">
        <v>161</v>
      </c>
    </row>
    <row r="48" spans="1:18" ht="115.15">
      <c r="A48" s="14" t="s">
        <v>168</v>
      </c>
      <c r="B48" s="15" t="s">
        <v>140</v>
      </c>
      <c r="C48" s="16" t="s">
        <v>141</v>
      </c>
      <c r="D48" s="24" t="s">
        <v>156</v>
      </c>
      <c r="E48" s="25" t="s">
        <v>157</v>
      </c>
      <c r="F48" s="22" t="s">
        <v>169</v>
      </c>
      <c r="G48" s="21" t="s">
        <v>145</v>
      </c>
      <c r="H48" s="21" t="s">
        <v>159</v>
      </c>
      <c r="I48" s="21" t="s">
        <v>170</v>
      </c>
      <c r="J48" s="22"/>
      <c r="K48" s="22"/>
      <c r="L48" s="22"/>
      <c r="M48" s="22"/>
      <c r="N48" s="22"/>
      <c r="O48" s="4">
        <f t="shared" si="0"/>
        <v>1</v>
      </c>
      <c r="P48" s="5" t="str">
        <f>IFERROR(VLOOKUP(O48,Principles!$B$4:$C$7,2,FALSE()),"")</f>
        <v>Perceivable</v>
      </c>
      <c r="Q48" s="6" t="str">
        <f>IFERROR(VLOOKUP(D48,Principles!$B$12:$D$66,3,FALSE()),"")</f>
        <v>A</v>
      </c>
      <c r="R48" s="23" t="s">
        <v>161</v>
      </c>
    </row>
    <row r="49" spans="1:18" ht="115.15">
      <c r="A49" s="14" t="s">
        <v>171</v>
      </c>
      <c r="B49" s="15" t="s">
        <v>140</v>
      </c>
      <c r="C49" s="16" t="s">
        <v>141</v>
      </c>
      <c r="D49" s="24" t="s">
        <v>156</v>
      </c>
      <c r="E49" s="25" t="s">
        <v>157</v>
      </c>
      <c r="F49" s="22" t="s">
        <v>172</v>
      </c>
      <c r="G49" s="21" t="s">
        <v>145</v>
      </c>
      <c r="H49" s="21" t="s">
        <v>159</v>
      </c>
      <c r="I49" s="21" t="s">
        <v>173</v>
      </c>
      <c r="J49" s="22"/>
      <c r="K49" s="22"/>
      <c r="L49" s="22"/>
      <c r="M49" s="22"/>
      <c r="N49" s="22"/>
      <c r="O49" s="4">
        <f t="shared" si="0"/>
        <v>1</v>
      </c>
      <c r="P49" s="5" t="str">
        <f>IFERROR(VLOOKUP(O49,Principles!$B$4:$C$7,2,FALSE()),"")</f>
        <v>Perceivable</v>
      </c>
      <c r="Q49" s="6" t="str">
        <f>IFERROR(VLOOKUP(D49,Principles!$B$12:$D$66,3,FALSE()),"")</f>
        <v>A</v>
      </c>
      <c r="R49" s="23" t="s">
        <v>161</v>
      </c>
    </row>
    <row r="50" spans="1:18" ht="144">
      <c r="A50" s="14" t="s">
        <v>174</v>
      </c>
      <c r="B50" s="15" t="s">
        <v>140</v>
      </c>
      <c r="C50" s="16" t="s">
        <v>141</v>
      </c>
      <c r="D50" s="24" t="s">
        <v>156</v>
      </c>
      <c r="E50" s="25" t="s">
        <v>157</v>
      </c>
      <c r="F50" s="22" t="s">
        <v>175</v>
      </c>
      <c r="G50" s="21" t="s">
        <v>145</v>
      </c>
      <c r="H50" s="21" t="s">
        <v>159</v>
      </c>
      <c r="I50" s="21" t="s">
        <v>176</v>
      </c>
      <c r="J50" s="22"/>
      <c r="K50" s="22"/>
      <c r="L50" s="22"/>
      <c r="M50" s="22"/>
      <c r="N50" s="22"/>
      <c r="O50" s="4">
        <f t="shared" si="0"/>
        <v>1</v>
      </c>
      <c r="P50" s="5" t="str">
        <f>IFERROR(VLOOKUP(O50,Principles!$B$4:$C$7,2,FALSE()),"")</f>
        <v>Perceivable</v>
      </c>
      <c r="Q50" s="6" t="str">
        <f>IFERROR(VLOOKUP(D50,Principles!$B$12:$D$66,3,FALSE()),"")</f>
        <v>A</v>
      </c>
      <c r="R50" s="23" t="s">
        <v>161</v>
      </c>
    </row>
    <row r="51" spans="1:18" ht="201.6">
      <c r="A51" s="14" t="s">
        <v>177</v>
      </c>
      <c r="B51" s="15" t="s">
        <v>140</v>
      </c>
      <c r="C51" s="16" t="s">
        <v>141</v>
      </c>
      <c r="D51" s="24" t="s">
        <v>156</v>
      </c>
      <c r="E51" s="25" t="s">
        <v>157</v>
      </c>
      <c r="F51" s="22" t="s">
        <v>178</v>
      </c>
      <c r="G51" s="21" t="s">
        <v>145</v>
      </c>
      <c r="H51" s="21" t="s">
        <v>159</v>
      </c>
      <c r="I51" s="21" t="s">
        <v>179</v>
      </c>
      <c r="J51" s="22"/>
      <c r="K51" s="22"/>
      <c r="L51" s="22"/>
      <c r="M51" s="22"/>
      <c r="N51" s="22"/>
      <c r="O51" s="4">
        <f t="shared" si="0"/>
        <v>1</v>
      </c>
      <c r="P51" s="5" t="str">
        <f>IFERROR(VLOOKUP(O51,Principles!$B$4:$C$7,2,FALSE()),"")</f>
        <v>Perceivable</v>
      </c>
      <c r="Q51" s="6" t="str">
        <f>IFERROR(VLOOKUP(D51,Principles!$B$12:$D$66,3,FALSE()),"")</f>
        <v>A</v>
      </c>
      <c r="R51" s="23" t="s">
        <v>161</v>
      </c>
    </row>
    <row r="52" spans="1:18" ht="158.44999999999999">
      <c r="A52" s="14" t="s">
        <v>180</v>
      </c>
      <c r="B52" s="15" t="s">
        <v>140</v>
      </c>
      <c r="C52" s="16" t="s">
        <v>141</v>
      </c>
      <c r="D52" s="24" t="s">
        <v>156</v>
      </c>
      <c r="E52" s="25" t="s">
        <v>157</v>
      </c>
      <c r="F52" s="22" t="s">
        <v>181</v>
      </c>
      <c r="G52" s="21" t="s">
        <v>145</v>
      </c>
      <c r="H52" s="21" t="s">
        <v>159</v>
      </c>
      <c r="I52" s="21" t="s">
        <v>182</v>
      </c>
      <c r="J52" s="22"/>
      <c r="K52" s="22"/>
      <c r="L52" s="22"/>
      <c r="M52" s="22"/>
      <c r="N52" s="22"/>
      <c r="O52" s="4">
        <f t="shared" si="0"/>
        <v>1</v>
      </c>
      <c r="P52" s="5" t="str">
        <f>IFERROR(VLOOKUP(O52,Principles!$B$4:$C$7,2,FALSE()),"")</f>
        <v>Perceivable</v>
      </c>
      <c r="Q52" s="6" t="str">
        <f>IFERROR(VLOOKUP(D52,Principles!$B$12:$D$66,3,FALSE()),"")</f>
        <v>A</v>
      </c>
      <c r="R52" s="23" t="s">
        <v>161</v>
      </c>
    </row>
    <row r="53" spans="1:18" ht="259.14999999999998">
      <c r="A53" s="14" t="s">
        <v>183</v>
      </c>
      <c r="B53" s="15" t="s">
        <v>140</v>
      </c>
      <c r="C53" s="16" t="s">
        <v>141</v>
      </c>
      <c r="D53" s="24" t="s">
        <v>184</v>
      </c>
      <c r="E53" s="25" t="s">
        <v>185</v>
      </c>
      <c r="F53" s="22" t="s">
        <v>186</v>
      </c>
      <c r="G53" s="21" t="s">
        <v>145</v>
      </c>
      <c r="H53" s="21" t="s">
        <v>187</v>
      </c>
      <c r="I53" s="21" t="s">
        <v>188</v>
      </c>
      <c r="J53" s="22"/>
      <c r="K53" s="22"/>
      <c r="L53" s="22"/>
      <c r="M53" s="22"/>
      <c r="N53" s="22"/>
      <c r="O53" s="4">
        <f t="shared" si="0"/>
        <v>1</v>
      </c>
      <c r="P53" s="5" t="str">
        <f>IFERROR(VLOOKUP(O53,Principles!$B$4:$C$7,2,FALSE()),"")</f>
        <v>Perceivable</v>
      </c>
      <c r="Q53" s="6" t="str">
        <f>IFERROR(VLOOKUP(D53,Principles!$B$12:$D$66,3,FALSE()),"")</f>
        <v>A</v>
      </c>
      <c r="R53" s="23" t="s">
        <v>189</v>
      </c>
    </row>
    <row r="54" spans="1:18" ht="187.15">
      <c r="A54" s="14" t="s">
        <v>190</v>
      </c>
      <c r="B54" s="15" t="s">
        <v>140</v>
      </c>
      <c r="C54" s="16" t="s">
        <v>141</v>
      </c>
      <c r="D54" s="24" t="s">
        <v>184</v>
      </c>
      <c r="E54" s="25" t="s">
        <v>185</v>
      </c>
      <c r="F54" s="22" t="s">
        <v>191</v>
      </c>
      <c r="G54" s="21" t="s">
        <v>145</v>
      </c>
      <c r="H54" s="21" t="s">
        <v>187</v>
      </c>
      <c r="I54" s="21" t="s">
        <v>192</v>
      </c>
      <c r="J54" s="22"/>
      <c r="K54" s="22"/>
      <c r="L54" s="22"/>
      <c r="M54" s="22"/>
      <c r="N54" s="22"/>
      <c r="O54" s="4">
        <f t="shared" si="0"/>
        <v>1</v>
      </c>
      <c r="P54" s="5" t="str">
        <f>IFERROR(VLOOKUP(O54,Principles!$B$4:$C$7,2,FALSE()),"")</f>
        <v>Perceivable</v>
      </c>
      <c r="Q54" s="6" t="str">
        <f>IFERROR(VLOOKUP(D54,Principles!$B$12:$D$66,3,FALSE()),"")</f>
        <v>A</v>
      </c>
      <c r="R54" s="23" t="s">
        <v>189</v>
      </c>
    </row>
    <row r="55" spans="1:18" ht="100.9">
      <c r="A55" s="14" t="s">
        <v>88</v>
      </c>
      <c r="B55" s="15" t="s">
        <v>140</v>
      </c>
      <c r="C55" s="16" t="s">
        <v>141</v>
      </c>
      <c r="D55" s="24" t="s">
        <v>184</v>
      </c>
      <c r="E55" s="25" t="s">
        <v>185</v>
      </c>
      <c r="F55" s="22" t="s">
        <v>89</v>
      </c>
      <c r="G55" s="21" t="s">
        <v>145</v>
      </c>
      <c r="H55" s="21" t="s">
        <v>187</v>
      </c>
      <c r="I55" s="21" t="s">
        <v>90</v>
      </c>
      <c r="J55" s="22"/>
      <c r="K55" s="22"/>
      <c r="L55" s="22"/>
      <c r="M55" s="22"/>
      <c r="N55" s="22"/>
      <c r="O55" s="4">
        <f t="shared" si="0"/>
        <v>1</v>
      </c>
      <c r="P55" s="5" t="str">
        <f>IFERROR(VLOOKUP(O55,Principles!$B$4:$C$7,2,FALSE()),"")</f>
        <v>Perceivable</v>
      </c>
      <c r="Q55" s="6" t="str">
        <f>IFERROR(VLOOKUP(D55,Principles!$B$12:$D$66,3,FALSE()),"")</f>
        <v>A</v>
      </c>
      <c r="R55" s="23" t="s">
        <v>189</v>
      </c>
    </row>
    <row r="56" spans="1:18" ht="187.15">
      <c r="A56" s="14" t="s">
        <v>193</v>
      </c>
      <c r="B56" s="15" t="s">
        <v>140</v>
      </c>
      <c r="C56" s="16" t="s">
        <v>141</v>
      </c>
      <c r="D56" s="24" t="s">
        <v>184</v>
      </c>
      <c r="E56" s="25" t="s">
        <v>185</v>
      </c>
      <c r="F56" s="22" t="s">
        <v>194</v>
      </c>
      <c r="G56" s="21" t="s">
        <v>145</v>
      </c>
      <c r="H56" s="21" t="s">
        <v>187</v>
      </c>
      <c r="I56" s="21" t="s">
        <v>195</v>
      </c>
      <c r="J56" s="22"/>
      <c r="K56" s="22"/>
      <c r="L56" s="22"/>
      <c r="M56" s="22"/>
      <c r="N56" s="22"/>
      <c r="O56" s="4">
        <f t="shared" si="0"/>
        <v>1</v>
      </c>
      <c r="P56" s="5" t="str">
        <f>IFERROR(VLOOKUP(O56,Principles!$B$4:$C$7,2,FALSE()),"")</f>
        <v>Perceivable</v>
      </c>
      <c r="Q56" s="6" t="str">
        <f>IFERROR(VLOOKUP(D56,Principles!$B$12:$D$66,3,FALSE()),"")</f>
        <v>A</v>
      </c>
      <c r="R56" s="23" t="s">
        <v>189</v>
      </c>
    </row>
    <row r="57" spans="1:18" ht="158.44999999999999">
      <c r="A57" s="14" t="s">
        <v>196</v>
      </c>
      <c r="B57" s="15" t="s">
        <v>140</v>
      </c>
      <c r="C57" s="16" t="s">
        <v>141</v>
      </c>
      <c r="D57" s="24" t="s">
        <v>184</v>
      </c>
      <c r="E57" s="25" t="s">
        <v>185</v>
      </c>
      <c r="F57" s="22" t="s">
        <v>197</v>
      </c>
      <c r="G57" s="21" t="s">
        <v>145</v>
      </c>
      <c r="H57" s="21" t="s">
        <v>187</v>
      </c>
      <c r="I57" s="21" t="s">
        <v>198</v>
      </c>
      <c r="J57" s="22"/>
      <c r="K57" s="22"/>
      <c r="L57" s="22"/>
      <c r="M57" s="22"/>
      <c r="N57" s="22"/>
      <c r="O57" s="4">
        <f t="shared" si="0"/>
        <v>1</v>
      </c>
      <c r="P57" s="5" t="str">
        <f>IFERROR(VLOOKUP(O57,Principles!$B$4:$C$7,2,FALSE()),"")</f>
        <v>Perceivable</v>
      </c>
      <c r="Q57" s="6" t="str">
        <f>IFERROR(VLOOKUP(D57,Principles!$B$12:$D$66,3,FALSE()),"")</f>
        <v>A</v>
      </c>
      <c r="R57" s="23" t="s">
        <v>189</v>
      </c>
    </row>
    <row r="58" spans="1:18" ht="129.6">
      <c r="A58" s="14" t="s">
        <v>199</v>
      </c>
      <c r="B58" s="15" t="s">
        <v>140</v>
      </c>
      <c r="C58" s="16" t="s">
        <v>141</v>
      </c>
      <c r="D58" s="24" t="s">
        <v>184</v>
      </c>
      <c r="E58" s="25" t="s">
        <v>185</v>
      </c>
      <c r="F58" s="22" t="s">
        <v>200</v>
      </c>
      <c r="G58" s="21" t="s">
        <v>145</v>
      </c>
      <c r="H58" s="21" t="s">
        <v>187</v>
      </c>
      <c r="I58" s="21" t="s">
        <v>201</v>
      </c>
      <c r="J58" s="22"/>
      <c r="K58" s="22"/>
      <c r="L58" s="22"/>
      <c r="M58" s="22"/>
      <c r="N58" s="22"/>
      <c r="O58" s="4">
        <f t="shared" si="0"/>
        <v>1</v>
      </c>
      <c r="P58" s="5" t="str">
        <f>IFERROR(VLOOKUP(O58,Principles!$B$4:$C$7,2,FALSE()),"")</f>
        <v>Perceivable</v>
      </c>
      <c r="Q58" s="6" t="str">
        <f>IFERROR(VLOOKUP(D58,Principles!$B$12:$D$66,3,FALSE()),"")</f>
        <v>A</v>
      </c>
      <c r="R58" s="23" t="s">
        <v>189</v>
      </c>
    </row>
    <row r="59" spans="1:18" ht="129.6">
      <c r="A59" s="14" t="s">
        <v>202</v>
      </c>
      <c r="B59" s="15" t="s">
        <v>140</v>
      </c>
      <c r="C59" s="16" t="s">
        <v>141</v>
      </c>
      <c r="D59" s="24" t="s">
        <v>184</v>
      </c>
      <c r="E59" s="25" t="s">
        <v>185</v>
      </c>
      <c r="F59" s="22" t="s">
        <v>203</v>
      </c>
      <c r="G59" s="21" t="s">
        <v>145</v>
      </c>
      <c r="H59" s="21" t="s">
        <v>187</v>
      </c>
      <c r="I59" s="21" t="s">
        <v>204</v>
      </c>
      <c r="J59" s="22"/>
      <c r="K59" s="22"/>
      <c r="L59" s="22"/>
      <c r="M59" s="22"/>
      <c r="N59" s="22"/>
      <c r="O59" s="4">
        <f t="shared" si="0"/>
        <v>1</v>
      </c>
      <c r="P59" s="5" t="str">
        <f>IFERROR(VLOOKUP(O59,Principles!$B$4:$C$7,2,FALSE()),"")</f>
        <v>Perceivable</v>
      </c>
      <c r="Q59" s="6" t="str">
        <f>IFERROR(VLOOKUP(D59,Principles!$B$12:$D$66,3,FALSE()),"")</f>
        <v>A</v>
      </c>
      <c r="R59" s="23" t="s">
        <v>189</v>
      </c>
    </row>
    <row r="60" spans="1:18" ht="216">
      <c r="A60" s="14" t="s">
        <v>205</v>
      </c>
      <c r="B60" s="15" t="s">
        <v>140</v>
      </c>
      <c r="C60" s="16" t="s">
        <v>141</v>
      </c>
      <c r="D60" s="24" t="s">
        <v>184</v>
      </c>
      <c r="E60" s="25" t="s">
        <v>185</v>
      </c>
      <c r="F60" s="22" t="s">
        <v>206</v>
      </c>
      <c r="G60" s="21" t="s">
        <v>145</v>
      </c>
      <c r="H60" s="21" t="s">
        <v>187</v>
      </c>
      <c r="I60" s="21" t="s">
        <v>207</v>
      </c>
      <c r="J60" s="22"/>
      <c r="K60" s="22"/>
      <c r="L60" s="22"/>
      <c r="M60" s="22"/>
      <c r="N60" s="22"/>
      <c r="O60" s="4">
        <f t="shared" si="0"/>
        <v>1</v>
      </c>
      <c r="P60" s="5" t="str">
        <f>IFERROR(VLOOKUP(O60,Principles!$B$4:$C$7,2,FALSE()),"")</f>
        <v>Perceivable</v>
      </c>
      <c r="Q60" s="6" t="str">
        <f>IFERROR(VLOOKUP(D60,Principles!$B$12:$D$66,3,FALSE()),"")</f>
        <v>A</v>
      </c>
      <c r="R60" s="23" t="s">
        <v>189</v>
      </c>
    </row>
    <row r="61" spans="1:18" ht="201.6">
      <c r="A61" s="14" t="s">
        <v>208</v>
      </c>
      <c r="B61" s="15" t="s">
        <v>140</v>
      </c>
      <c r="C61" s="16" t="s">
        <v>141</v>
      </c>
      <c r="D61" s="24" t="s">
        <v>184</v>
      </c>
      <c r="E61" s="25" t="s">
        <v>185</v>
      </c>
      <c r="F61" s="22" t="s">
        <v>209</v>
      </c>
      <c r="G61" s="21" t="s">
        <v>145</v>
      </c>
      <c r="H61" s="21" t="s">
        <v>187</v>
      </c>
      <c r="I61" s="21" t="s">
        <v>210</v>
      </c>
      <c r="J61" s="22"/>
      <c r="K61" s="22"/>
      <c r="L61" s="22"/>
      <c r="M61" s="22"/>
      <c r="N61" s="22"/>
      <c r="O61" s="4">
        <f t="shared" si="0"/>
        <v>1</v>
      </c>
      <c r="P61" s="5" t="str">
        <f>IFERROR(VLOOKUP(O61,Principles!$B$4:$C$7,2,FALSE()),"")</f>
        <v>Perceivable</v>
      </c>
      <c r="Q61" s="6" t="str">
        <f>IFERROR(VLOOKUP(D61,Principles!$B$12:$D$66,3,FALSE()),"")</f>
        <v>A</v>
      </c>
      <c r="R61" s="23" t="s">
        <v>189</v>
      </c>
    </row>
    <row r="62" spans="1:18" ht="129.6">
      <c r="A62" s="14" t="s">
        <v>211</v>
      </c>
      <c r="B62" s="15" t="s">
        <v>140</v>
      </c>
      <c r="C62" s="16" t="s">
        <v>141</v>
      </c>
      <c r="D62" s="24" t="s">
        <v>184</v>
      </c>
      <c r="E62" s="25" t="s">
        <v>185</v>
      </c>
      <c r="F62" s="22" t="s">
        <v>212</v>
      </c>
      <c r="G62" s="21" t="s">
        <v>145</v>
      </c>
      <c r="H62" s="21" t="s">
        <v>187</v>
      </c>
      <c r="I62" s="21" t="s">
        <v>213</v>
      </c>
      <c r="J62" s="22"/>
      <c r="K62" s="22"/>
      <c r="L62" s="22"/>
      <c r="M62" s="22"/>
      <c r="N62" s="22"/>
      <c r="O62" s="4">
        <f t="shared" si="0"/>
        <v>1</v>
      </c>
      <c r="P62" s="5" t="str">
        <f>IFERROR(VLOOKUP(O62,Principles!$B$4:$C$7,2,FALSE()),"")</f>
        <v>Perceivable</v>
      </c>
      <c r="Q62" s="6" t="str">
        <f>IFERROR(VLOOKUP(D62,Principles!$B$12:$D$66,3,FALSE()),"")</f>
        <v>A</v>
      </c>
      <c r="R62" s="23" t="s">
        <v>189</v>
      </c>
    </row>
    <row r="63" spans="1:18" ht="115.15">
      <c r="A63" s="14" t="s">
        <v>214</v>
      </c>
      <c r="B63" s="15" t="s">
        <v>140</v>
      </c>
      <c r="C63" s="16" t="s">
        <v>141</v>
      </c>
      <c r="D63" s="24" t="s">
        <v>184</v>
      </c>
      <c r="E63" s="25" t="s">
        <v>185</v>
      </c>
      <c r="F63" s="22" t="s">
        <v>215</v>
      </c>
      <c r="G63" s="21" t="s">
        <v>145</v>
      </c>
      <c r="H63" s="21" t="s">
        <v>187</v>
      </c>
      <c r="I63" s="21" t="s">
        <v>216</v>
      </c>
      <c r="J63" s="22"/>
      <c r="K63" s="22"/>
      <c r="L63" s="22"/>
      <c r="M63" s="22"/>
      <c r="N63" s="22"/>
      <c r="O63" s="4">
        <f t="shared" si="0"/>
        <v>1</v>
      </c>
      <c r="P63" s="5" t="str">
        <f>IFERROR(VLOOKUP(O63,Principles!$B$4:$C$7,2,FALSE()),"")</f>
        <v>Perceivable</v>
      </c>
      <c r="Q63" s="6" t="str">
        <f>IFERROR(VLOOKUP(D63,Principles!$B$12:$D$66,3,FALSE()),"")</f>
        <v>A</v>
      </c>
      <c r="R63" s="23" t="s">
        <v>189</v>
      </c>
    </row>
    <row r="64" spans="1:18" ht="144">
      <c r="A64" s="14" t="s">
        <v>217</v>
      </c>
      <c r="B64" s="15" t="s">
        <v>140</v>
      </c>
      <c r="C64" s="16" t="s">
        <v>141</v>
      </c>
      <c r="D64" s="24" t="s">
        <v>184</v>
      </c>
      <c r="E64" s="25" t="s">
        <v>185</v>
      </c>
      <c r="F64" s="22" t="s">
        <v>218</v>
      </c>
      <c r="G64" s="21" t="s">
        <v>145</v>
      </c>
      <c r="H64" s="21" t="s">
        <v>187</v>
      </c>
      <c r="I64" s="21" t="s">
        <v>219</v>
      </c>
      <c r="J64" s="22"/>
      <c r="K64" s="22"/>
      <c r="L64" s="22"/>
      <c r="M64" s="22"/>
      <c r="N64" s="22"/>
      <c r="O64" s="4">
        <f t="shared" si="0"/>
        <v>1</v>
      </c>
      <c r="P64" s="5" t="str">
        <f>IFERROR(VLOOKUP(O64,Principles!$B$4:$C$7,2,FALSE()),"")</f>
        <v>Perceivable</v>
      </c>
      <c r="Q64" s="6" t="str">
        <f>IFERROR(VLOOKUP(D64,Principles!$B$12:$D$66,3,FALSE()),"")</f>
        <v>A</v>
      </c>
      <c r="R64" s="23" t="s">
        <v>189</v>
      </c>
    </row>
    <row r="65" spans="1:18" ht="100.9">
      <c r="A65" s="14" t="s">
        <v>220</v>
      </c>
      <c r="B65" s="15" t="s">
        <v>140</v>
      </c>
      <c r="C65" s="16" t="s">
        <v>141</v>
      </c>
      <c r="D65" s="24" t="s">
        <v>221</v>
      </c>
      <c r="E65" s="25" t="s">
        <v>222</v>
      </c>
      <c r="F65" s="22" t="s">
        <v>223</v>
      </c>
      <c r="G65" s="21" t="s">
        <v>145</v>
      </c>
      <c r="H65" s="21" t="s">
        <v>224</v>
      </c>
      <c r="I65" s="21" t="s">
        <v>225</v>
      </c>
      <c r="J65" s="22"/>
      <c r="K65" s="22"/>
      <c r="L65" s="22"/>
      <c r="M65" s="22"/>
      <c r="N65" s="22"/>
      <c r="O65" s="4">
        <f t="shared" si="0"/>
        <v>1</v>
      </c>
      <c r="P65" s="5" t="str">
        <f>IFERROR(VLOOKUP(O65,Principles!$B$4:$C$7,2,FALSE()),"")</f>
        <v>Perceivable</v>
      </c>
      <c r="Q65" s="6" t="str">
        <f>IFERROR(VLOOKUP(D65,Principles!$B$12:$D$66,3,FALSE()),"")</f>
        <v>AA</v>
      </c>
      <c r="R65" s="23" t="s">
        <v>226</v>
      </c>
    </row>
    <row r="66" spans="1:18" ht="129.6">
      <c r="A66" s="14" t="s">
        <v>155</v>
      </c>
      <c r="B66" s="15" t="s">
        <v>140</v>
      </c>
      <c r="C66" s="16" t="s">
        <v>141</v>
      </c>
      <c r="D66" s="24" t="s">
        <v>221</v>
      </c>
      <c r="E66" s="25" t="s">
        <v>222</v>
      </c>
      <c r="F66" s="22" t="s">
        <v>158</v>
      </c>
      <c r="G66" s="21" t="s">
        <v>145</v>
      </c>
      <c r="H66" s="21" t="s">
        <v>224</v>
      </c>
      <c r="I66" s="21" t="s">
        <v>160</v>
      </c>
      <c r="J66" s="22"/>
      <c r="K66" s="22"/>
      <c r="L66" s="22"/>
      <c r="M66" s="22"/>
      <c r="N66" s="22"/>
      <c r="O66" s="4">
        <f t="shared" ref="O66:O129" si="1">IFERROR(VALUE(LEFT(D66,FIND(".",D66)-1)),"")</f>
        <v>1</v>
      </c>
      <c r="P66" s="5" t="str">
        <f>IFERROR(VLOOKUP(O66,Principles!$B$4:$C$7,2,FALSE()),"")</f>
        <v>Perceivable</v>
      </c>
      <c r="Q66" s="6" t="str">
        <f>IFERROR(VLOOKUP(D66,Principles!$B$12:$D$66,3,FALSE()),"")</f>
        <v>AA</v>
      </c>
      <c r="R66" s="23" t="s">
        <v>226</v>
      </c>
    </row>
    <row r="67" spans="1:18" ht="129.6">
      <c r="A67" s="14" t="s">
        <v>162</v>
      </c>
      <c r="B67" s="15" t="s">
        <v>140</v>
      </c>
      <c r="C67" s="16" t="s">
        <v>141</v>
      </c>
      <c r="D67" s="24" t="s">
        <v>221</v>
      </c>
      <c r="E67" s="25" t="s">
        <v>222</v>
      </c>
      <c r="F67" s="22" t="s">
        <v>163</v>
      </c>
      <c r="G67" s="21" t="s">
        <v>145</v>
      </c>
      <c r="H67" s="21" t="s">
        <v>224</v>
      </c>
      <c r="I67" s="21" t="s">
        <v>164</v>
      </c>
      <c r="J67" s="22"/>
      <c r="K67" s="22"/>
      <c r="L67" s="22"/>
      <c r="M67" s="22"/>
      <c r="N67" s="22"/>
      <c r="O67" s="4">
        <f t="shared" si="1"/>
        <v>1</v>
      </c>
      <c r="P67" s="5" t="str">
        <f>IFERROR(VLOOKUP(O67,Principles!$B$4:$C$7,2,FALSE()),"")</f>
        <v>Perceivable</v>
      </c>
      <c r="Q67" s="6" t="str">
        <f>IFERROR(VLOOKUP(D67,Principles!$B$12:$D$66,3,FALSE()),"")</f>
        <v>AA</v>
      </c>
      <c r="R67" s="23" t="s">
        <v>226</v>
      </c>
    </row>
    <row r="68" spans="1:18" ht="115.15">
      <c r="A68" s="14" t="s">
        <v>165</v>
      </c>
      <c r="B68" s="15" t="s">
        <v>140</v>
      </c>
      <c r="C68" s="16" t="s">
        <v>141</v>
      </c>
      <c r="D68" s="24" t="s">
        <v>221</v>
      </c>
      <c r="E68" s="25" t="s">
        <v>222</v>
      </c>
      <c r="F68" s="22" t="s">
        <v>166</v>
      </c>
      <c r="G68" s="21" t="s">
        <v>145</v>
      </c>
      <c r="H68" s="21" t="s">
        <v>224</v>
      </c>
      <c r="I68" s="21" t="s">
        <v>167</v>
      </c>
      <c r="J68" s="22"/>
      <c r="K68" s="22"/>
      <c r="L68" s="22"/>
      <c r="M68" s="22"/>
      <c r="N68" s="22"/>
      <c r="O68" s="4">
        <f t="shared" si="1"/>
        <v>1</v>
      </c>
      <c r="P68" s="5" t="str">
        <f>IFERROR(VLOOKUP(O68,Principles!$B$4:$C$7,2,FALSE()),"")</f>
        <v>Perceivable</v>
      </c>
      <c r="Q68" s="6" t="str">
        <f>IFERROR(VLOOKUP(D68,Principles!$B$12:$D$66,3,FALSE()),"")</f>
        <v>AA</v>
      </c>
      <c r="R68" s="23" t="s">
        <v>226</v>
      </c>
    </row>
    <row r="69" spans="1:18" ht="115.15">
      <c r="A69" s="14" t="s">
        <v>168</v>
      </c>
      <c r="B69" s="15" t="s">
        <v>140</v>
      </c>
      <c r="C69" s="16" t="s">
        <v>141</v>
      </c>
      <c r="D69" s="24" t="s">
        <v>221</v>
      </c>
      <c r="E69" s="25" t="s">
        <v>222</v>
      </c>
      <c r="F69" s="22" t="s">
        <v>169</v>
      </c>
      <c r="G69" s="21" t="s">
        <v>145</v>
      </c>
      <c r="H69" s="21" t="s">
        <v>224</v>
      </c>
      <c r="I69" s="21" t="s">
        <v>170</v>
      </c>
      <c r="J69" s="22"/>
      <c r="K69" s="22"/>
      <c r="L69" s="22"/>
      <c r="M69" s="22"/>
      <c r="N69" s="22"/>
      <c r="O69" s="4">
        <f t="shared" si="1"/>
        <v>1</v>
      </c>
      <c r="P69" s="5" t="str">
        <f>IFERROR(VLOOKUP(O69,Principles!$B$4:$C$7,2,FALSE()),"")</f>
        <v>Perceivable</v>
      </c>
      <c r="Q69" s="6" t="str">
        <f>IFERROR(VLOOKUP(D69,Principles!$B$12:$D$66,3,FALSE()),"")</f>
        <v>AA</v>
      </c>
      <c r="R69" s="23" t="s">
        <v>226</v>
      </c>
    </row>
    <row r="70" spans="1:18" ht="187.15">
      <c r="A70" s="14" t="s">
        <v>193</v>
      </c>
      <c r="B70" s="15" t="s">
        <v>140</v>
      </c>
      <c r="C70" s="16" t="s">
        <v>141</v>
      </c>
      <c r="D70" s="24" t="s">
        <v>227</v>
      </c>
      <c r="E70" s="25" t="s">
        <v>228</v>
      </c>
      <c r="F70" s="22" t="s">
        <v>194</v>
      </c>
      <c r="G70" s="21" t="s">
        <v>145</v>
      </c>
      <c r="H70" s="21" t="s">
        <v>229</v>
      </c>
      <c r="I70" s="21" t="s">
        <v>195</v>
      </c>
      <c r="J70" s="22"/>
      <c r="K70" s="22"/>
      <c r="L70" s="22"/>
      <c r="M70" s="22"/>
      <c r="N70" s="22"/>
      <c r="O70" s="4">
        <f t="shared" si="1"/>
        <v>1</v>
      </c>
      <c r="P70" s="5" t="str">
        <f>IFERROR(VLOOKUP(O70,Principles!$B$4:$C$7,2,FALSE()),"")</f>
        <v>Perceivable</v>
      </c>
      <c r="Q70" s="6" t="str">
        <f>IFERROR(VLOOKUP(D70,Principles!$B$12:$D$66,3,FALSE()),"")</f>
        <v>AA</v>
      </c>
      <c r="R70" s="23" t="s">
        <v>230</v>
      </c>
    </row>
    <row r="71" spans="1:18" ht="158.44999999999999">
      <c r="A71" s="14" t="s">
        <v>196</v>
      </c>
      <c r="B71" s="15" t="s">
        <v>140</v>
      </c>
      <c r="C71" s="16" t="s">
        <v>141</v>
      </c>
      <c r="D71" s="24" t="s">
        <v>227</v>
      </c>
      <c r="E71" s="25" t="s">
        <v>228</v>
      </c>
      <c r="F71" s="22" t="s">
        <v>197</v>
      </c>
      <c r="G71" s="21" t="s">
        <v>145</v>
      </c>
      <c r="H71" s="21" t="s">
        <v>229</v>
      </c>
      <c r="I71" s="21" t="s">
        <v>198</v>
      </c>
      <c r="J71" s="22"/>
      <c r="K71" s="22"/>
      <c r="L71" s="22"/>
      <c r="M71" s="22"/>
      <c r="N71" s="22"/>
      <c r="O71" s="4">
        <f t="shared" si="1"/>
        <v>1</v>
      </c>
      <c r="P71" s="5" t="str">
        <f>IFERROR(VLOOKUP(O71,Principles!$B$4:$C$7,2,FALSE()),"")</f>
        <v>Perceivable</v>
      </c>
      <c r="Q71" s="6" t="str">
        <f>IFERROR(VLOOKUP(D71,Principles!$B$12:$D$66,3,FALSE()),"")</f>
        <v>AA</v>
      </c>
      <c r="R71" s="23" t="s">
        <v>230</v>
      </c>
    </row>
    <row r="72" spans="1:18" ht="129.6">
      <c r="A72" s="14" t="s">
        <v>199</v>
      </c>
      <c r="B72" s="15" t="s">
        <v>140</v>
      </c>
      <c r="C72" s="16" t="s">
        <v>141</v>
      </c>
      <c r="D72" s="24" t="s">
        <v>227</v>
      </c>
      <c r="E72" s="25" t="s">
        <v>228</v>
      </c>
      <c r="F72" s="22" t="s">
        <v>200</v>
      </c>
      <c r="G72" s="21" t="s">
        <v>145</v>
      </c>
      <c r="H72" s="21" t="s">
        <v>229</v>
      </c>
      <c r="I72" s="21" t="s">
        <v>201</v>
      </c>
      <c r="J72" s="22"/>
      <c r="K72" s="22"/>
      <c r="L72" s="22"/>
      <c r="M72" s="22"/>
      <c r="N72" s="22"/>
      <c r="O72" s="4">
        <f t="shared" si="1"/>
        <v>1</v>
      </c>
      <c r="P72" s="5" t="str">
        <f>IFERROR(VLOOKUP(O72,Principles!$B$4:$C$7,2,FALSE()),"")</f>
        <v>Perceivable</v>
      </c>
      <c r="Q72" s="6" t="str">
        <f>IFERROR(VLOOKUP(D72,Principles!$B$12:$D$66,3,FALSE()),"")</f>
        <v>AA</v>
      </c>
      <c r="R72" s="23" t="s">
        <v>230</v>
      </c>
    </row>
    <row r="73" spans="1:18" ht="129.6">
      <c r="A73" s="14" t="s">
        <v>202</v>
      </c>
      <c r="B73" s="15" t="s">
        <v>140</v>
      </c>
      <c r="C73" s="16" t="s">
        <v>141</v>
      </c>
      <c r="D73" s="24" t="s">
        <v>227</v>
      </c>
      <c r="E73" s="25" t="s">
        <v>228</v>
      </c>
      <c r="F73" s="22" t="s">
        <v>203</v>
      </c>
      <c r="G73" s="21" t="s">
        <v>145</v>
      </c>
      <c r="H73" s="21" t="s">
        <v>229</v>
      </c>
      <c r="I73" s="21" t="s">
        <v>204</v>
      </c>
      <c r="J73" s="22"/>
      <c r="K73" s="22"/>
      <c r="L73" s="22"/>
      <c r="M73" s="22"/>
      <c r="N73" s="22"/>
      <c r="O73" s="4">
        <f t="shared" si="1"/>
        <v>1</v>
      </c>
      <c r="P73" s="5" t="str">
        <f>IFERROR(VLOOKUP(O73,Principles!$B$4:$C$7,2,FALSE()),"")</f>
        <v>Perceivable</v>
      </c>
      <c r="Q73" s="6" t="str">
        <f>IFERROR(VLOOKUP(D73,Principles!$B$12:$D$66,3,FALSE()),"")</f>
        <v>AA</v>
      </c>
      <c r="R73" s="23" t="s">
        <v>230</v>
      </c>
    </row>
    <row r="74" spans="1:18" ht="216">
      <c r="A74" s="14" t="s">
        <v>205</v>
      </c>
      <c r="B74" s="15" t="s">
        <v>140</v>
      </c>
      <c r="C74" s="16" t="s">
        <v>141</v>
      </c>
      <c r="D74" s="24" t="s">
        <v>227</v>
      </c>
      <c r="E74" s="25" t="s">
        <v>228</v>
      </c>
      <c r="F74" s="22" t="s">
        <v>206</v>
      </c>
      <c r="G74" s="21" t="s">
        <v>145</v>
      </c>
      <c r="H74" s="21" t="s">
        <v>229</v>
      </c>
      <c r="I74" s="21" t="s">
        <v>207</v>
      </c>
      <c r="J74" s="22"/>
      <c r="K74" s="22"/>
      <c r="L74" s="22"/>
      <c r="M74" s="22"/>
      <c r="N74" s="22"/>
      <c r="O74" s="4">
        <f t="shared" si="1"/>
        <v>1</v>
      </c>
      <c r="P74" s="5" t="str">
        <f>IFERROR(VLOOKUP(O74,Principles!$B$4:$C$7,2,FALSE()),"")</f>
        <v>Perceivable</v>
      </c>
      <c r="Q74" s="6" t="str">
        <f>IFERROR(VLOOKUP(D74,Principles!$B$12:$D$66,3,FALSE()),"")</f>
        <v>AA</v>
      </c>
      <c r="R74" s="23" t="s">
        <v>230</v>
      </c>
    </row>
    <row r="75" spans="1:18" ht="201.6">
      <c r="A75" s="14" t="s">
        <v>208</v>
      </c>
      <c r="B75" s="15" t="s">
        <v>140</v>
      </c>
      <c r="C75" s="16" t="s">
        <v>141</v>
      </c>
      <c r="D75" s="24" t="s">
        <v>227</v>
      </c>
      <c r="E75" s="25" t="s">
        <v>228</v>
      </c>
      <c r="F75" s="22" t="s">
        <v>209</v>
      </c>
      <c r="G75" s="21" t="s">
        <v>145</v>
      </c>
      <c r="H75" s="21" t="s">
        <v>229</v>
      </c>
      <c r="I75" s="21" t="s">
        <v>210</v>
      </c>
      <c r="J75" s="22"/>
      <c r="K75" s="22"/>
      <c r="L75" s="22"/>
      <c r="M75" s="22"/>
      <c r="N75" s="22"/>
      <c r="O75" s="4">
        <f t="shared" si="1"/>
        <v>1</v>
      </c>
      <c r="P75" s="5" t="str">
        <f>IFERROR(VLOOKUP(O75,Principles!$B$4:$C$7,2,FALSE()),"")</f>
        <v>Perceivable</v>
      </c>
      <c r="Q75" s="6" t="str">
        <f>IFERROR(VLOOKUP(D75,Principles!$B$12:$D$66,3,FALSE()),"")</f>
        <v>AA</v>
      </c>
      <c r="R75" s="23" t="s">
        <v>230</v>
      </c>
    </row>
    <row r="76" spans="1:18" ht="129.6">
      <c r="A76" s="14" t="s">
        <v>211</v>
      </c>
      <c r="B76" s="15" t="s">
        <v>140</v>
      </c>
      <c r="C76" s="16" t="s">
        <v>141</v>
      </c>
      <c r="D76" s="24" t="s">
        <v>227</v>
      </c>
      <c r="E76" s="25" t="s">
        <v>228</v>
      </c>
      <c r="F76" s="22" t="s">
        <v>212</v>
      </c>
      <c r="G76" s="21" t="s">
        <v>145</v>
      </c>
      <c r="H76" s="21" t="s">
        <v>229</v>
      </c>
      <c r="I76" s="21" t="s">
        <v>213</v>
      </c>
      <c r="J76" s="22"/>
      <c r="K76" s="22"/>
      <c r="L76" s="22"/>
      <c r="M76" s="22"/>
      <c r="N76" s="22"/>
      <c r="O76" s="4">
        <f t="shared" si="1"/>
        <v>1</v>
      </c>
      <c r="P76" s="5" t="str">
        <f>IFERROR(VLOOKUP(O76,Principles!$B$4:$C$7,2,FALSE()),"")</f>
        <v>Perceivable</v>
      </c>
      <c r="Q76" s="6" t="str">
        <f>IFERROR(VLOOKUP(D76,Principles!$B$12:$D$66,3,FALSE()),"")</f>
        <v>AA</v>
      </c>
      <c r="R76" s="23" t="s">
        <v>230</v>
      </c>
    </row>
    <row r="77" spans="1:18" ht="115.15">
      <c r="A77" s="14" t="s">
        <v>214</v>
      </c>
      <c r="B77" s="15" t="s">
        <v>140</v>
      </c>
      <c r="C77" s="16" t="s">
        <v>141</v>
      </c>
      <c r="D77" s="24" t="s">
        <v>227</v>
      </c>
      <c r="E77" s="25" t="s">
        <v>228</v>
      </c>
      <c r="F77" s="22" t="s">
        <v>215</v>
      </c>
      <c r="G77" s="21" t="s">
        <v>145</v>
      </c>
      <c r="H77" s="21" t="s">
        <v>229</v>
      </c>
      <c r="I77" s="21" t="s">
        <v>216</v>
      </c>
      <c r="J77" s="22"/>
      <c r="K77" s="22"/>
      <c r="L77" s="22"/>
      <c r="M77" s="22"/>
      <c r="N77" s="22"/>
      <c r="O77" s="4">
        <f t="shared" si="1"/>
        <v>1</v>
      </c>
      <c r="P77" s="5" t="str">
        <f>IFERROR(VLOOKUP(O77,Principles!$B$4:$C$7,2,FALSE()),"")</f>
        <v>Perceivable</v>
      </c>
      <c r="Q77" s="6" t="str">
        <f>IFERROR(VLOOKUP(D77,Principles!$B$12:$D$66,3,FALSE()),"")</f>
        <v>AA</v>
      </c>
      <c r="R77" s="23" t="s">
        <v>230</v>
      </c>
    </row>
    <row r="78" spans="1:18" ht="144">
      <c r="A78" s="14" t="s">
        <v>217</v>
      </c>
      <c r="B78" s="15" t="s">
        <v>140</v>
      </c>
      <c r="C78" s="16" t="s">
        <v>141</v>
      </c>
      <c r="D78" s="24" t="s">
        <v>227</v>
      </c>
      <c r="E78" s="25" t="s">
        <v>228</v>
      </c>
      <c r="F78" s="22" t="s">
        <v>218</v>
      </c>
      <c r="G78" s="21" t="s">
        <v>145</v>
      </c>
      <c r="H78" s="21" t="s">
        <v>229</v>
      </c>
      <c r="I78" s="21" t="s">
        <v>219</v>
      </c>
      <c r="J78" s="22"/>
      <c r="K78" s="22"/>
      <c r="L78" s="22"/>
      <c r="M78" s="22"/>
      <c r="N78" s="22"/>
      <c r="O78" s="4">
        <f t="shared" si="1"/>
        <v>1</v>
      </c>
      <c r="P78" s="5" t="str">
        <f>IFERROR(VLOOKUP(O78,Principles!$B$4:$C$7,2,FALSE()),"")</f>
        <v>Perceivable</v>
      </c>
      <c r="Q78" s="6" t="str">
        <f>IFERROR(VLOOKUP(D78,Principles!$B$12:$D$66,3,FALSE()),"")</f>
        <v>AA</v>
      </c>
      <c r="R78" s="23" t="s">
        <v>230</v>
      </c>
    </row>
    <row r="79" spans="1:18" ht="216">
      <c r="A79" s="14" t="s">
        <v>231</v>
      </c>
      <c r="B79" s="15" t="s">
        <v>140</v>
      </c>
      <c r="C79" s="16" t="s">
        <v>141</v>
      </c>
      <c r="D79" s="24" t="s">
        <v>227</v>
      </c>
      <c r="E79" s="25" t="s">
        <v>228</v>
      </c>
      <c r="F79" s="22" t="s">
        <v>232</v>
      </c>
      <c r="G79" s="21" t="s">
        <v>145</v>
      </c>
      <c r="H79" s="21" t="s">
        <v>229</v>
      </c>
      <c r="I79" s="21" t="s">
        <v>233</v>
      </c>
      <c r="J79" s="22"/>
      <c r="K79" s="22"/>
      <c r="L79" s="22"/>
      <c r="M79" s="22"/>
      <c r="N79" s="22"/>
      <c r="O79" s="4">
        <f t="shared" si="1"/>
        <v>1</v>
      </c>
      <c r="P79" s="5" t="str">
        <f>IFERROR(VLOOKUP(O79,Principles!$B$4:$C$7,2,FALSE()),"")</f>
        <v>Perceivable</v>
      </c>
      <c r="Q79" s="6" t="str">
        <f>IFERROR(VLOOKUP(D79,Principles!$B$12:$D$66,3,FALSE()),"")</f>
        <v>AA</v>
      </c>
      <c r="R79" s="23" t="s">
        <v>230</v>
      </c>
    </row>
    <row r="80" spans="1:18" ht="100.9">
      <c r="A80" s="14" t="s">
        <v>234</v>
      </c>
      <c r="B80" s="15" t="s">
        <v>235</v>
      </c>
      <c r="C80" s="16" t="s">
        <v>236</v>
      </c>
      <c r="D80" s="24" t="s">
        <v>237</v>
      </c>
      <c r="E80" s="25" t="s">
        <v>238</v>
      </c>
      <c r="F80" s="22" t="s">
        <v>239</v>
      </c>
      <c r="G80" s="21" t="s">
        <v>240</v>
      </c>
      <c r="H80" s="21" t="s">
        <v>241</v>
      </c>
      <c r="I80" s="21" t="s">
        <v>242</v>
      </c>
      <c r="J80" s="22"/>
      <c r="K80" s="22"/>
      <c r="L80" s="22"/>
      <c r="M80" s="22"/>
      <c r="N80" s="22"/>
      <c r="O80" s="4">
        <f t="shared" si="1"/>
        <v>1</v>
      </c>
      <c r="P80" s="5" t="str">
        <f>IFERROR(VLOOKUP(O80,Principles!$B$4:$C$7,2,FALSE()),"")</f>
        <v>Perceivable</v>
      </c>
      <c r="Q80" s="6" t="str">
        <f>IFERROR(VLOOKUP(D80,Principles!$B$12:$D$66,3,FALSE()),"")</f>
        <v>A</v>
      </c>
      <c r="R80" s="23" t="s">
        <v>243</v>
      </c>
    </row>
    <row r="81" spans="1:18" ht="158.44999999999999">
      <c r="A81" s="14" t="s">
        <v>244</v>
      </c>
      <c r="B81" s="15" t="s">
        <v>235</v>
      </c>
      <c r="C81" s="16" t="s">
        <v>236</v>
      </c>
      <c r="D81" s="24" t="s">
        <v>237</v>
      </c>
      <c r="E81" s="25" t="s">
        <v>238</v>
      </c>
      <c r="F81" s="22" t="s">
        <v>245</v>
      </c>
      <c r="G81" s="21" t="s">
        <v>240</v>
      </c>
      <c r="H81" s="21" t="s">
        <v>241</v>
      </c>
      <c r="I81" s="21" t="s">
        <v>246</v>
      </c>
      <c r="J81" s="22"/>
      <c r="K81" s="22"/>
      <c r="L81" s="22"/>
      <c r="M81" s="22"/>
      <c r="N81" s="22"/>
      <c r="O81" s="4">
        <f t="shared" si="1"/>
        <v>1</v>
      </c>
      <c r="P81" s="5" t="str">
        <f>IFERROR(VLOOKUP(O81,Principles!$B$4:$C$7,2,FALSE()),"")</f>
        <v>Perceivable</v>
      </c>
      <c r="Q81" s="6" t="str">
        <f>IFERROR(VLOOKUP(D81,Principles!$B$12:$D$66,3,FALSE()),"")</f>
        <v>A</v>
      </c>
      <c r="R81" s="23" t="s">
        <v>243</v>
      </c>
    </row>
    <row r="82" spans="1:18" ht="115.15">
      <c r="A82" s="14" t="s">
        <v>247</v>
      </c>
      <c r="B82" s="15" t="s">
        <v>235</v>
      </c>
      <c r="C82" s="16" t="s">
        <v>236</v>
      </c>
      <c r="D82" s="24" t="s">
        <v>237</v>
      </c>
      <c r="E82" s="25" t="s">
        <v>238</v>
      </c>
      <c r="F82" s="22" t="s">
        <v>248</v>
      </c>
      <c r="G82" s="21" t="s">
        <v>240</v>
      </c>
      <c r="H82" s="21" t="s">
        <v>241</v>
      </c>
      <c r="I82" s="21" t="s">
        <v>249</v>
      </c>
      <c r="J82" s="22"/>
      <c r="K82" s="22"/>
      <c r="L82" s="22"/>
      <c r="M82" s="22"/>
      <c r="N82" s="22"/>
      <c r="O82" s="4">
        <f t="shared" si="1"/>
        <v>1</v>
      </c>
      <c r="P82" s="5" t="str">
        <f>IFERROR(VLOOKUP(O82,Principles!$B$4:$C$7,2,FALSE()),"")</f>
        <v>Perceivable</v>
      </c>
      <c r="Q82" s="6" t="str">
        <f>IFERROR(VLOOKUP(D82,Principles!$B$12:$D$66,3,FALSE()),"")</f>
        <v>A</v>
      </c>
      <c r="R82" s="23" t="s">
        <v>243</v>
      </c>
    </row>
    <row r="83" spans="1:18" ht="129.6">
      <c r="A83" s="14" t="s">
        <v>250</v>
      </c>
      <c r="B83" s="15" t="s">
        <v>235</v>
      </c>
      <c r="C83" s="16" t="s">
        <v>236</v>
      </c>
      <c r="D83" s="24" t="s">
        <v>237</v>
      </c>
      <c r="E83" s="25" t="s">
        <v>238</v>
      </c>
      <c r="F83" s="22" t="s">
        <v>251</v>
      </c>
      <c r="G83" s="21" t="s">
        <v>240</v>
      </c>
      <c r="H83" s="21" t="s">
        <v>241</v>
      </c>
      <c r="I83" s="21" t="s">
        <v>252</v>
      </c>
      <c r="J83" s="22"/>
      <c r="K83" s="22"/>
      <c r="L83" s="22"/>
      <c r="M83" s="22"/>
      <c r="N83" s="22"/>
      <c r="O83" s="4">
        <f t="shared" si="1"/>
        <v>1</v>
      </c>
      <c r="P83" s="5" t="str">
        <f>IFERROR(VLOOKUP(O83,Principles!$B$4:$C$7,2,FALSE()),"")</f>
        <v>Perceivable</v>
      </c>
      <c r="Q83" s="6" t="str">
        <f>IFERROR(VLOOKUP(D83,Principles!$B$12:$D$66,3,FALSE()),"")</f>
        <v>A</v>
      </c>
      <c r="R83" s="23" t="s">
        <v>243</v>
      </c>
    </row>
    <row r="84" spans="1:18" ht="144">
      <c r="A84" s="14" t="s">
        <v>253</v>
      </c>
      <c r="B84" s="15" t="s">
        <v>235</v>
      </c>
      <c r="C84" s="16" t="s">
        <v>236</v>
      </c>
      <c r="D84" s="24" t="s">
        <v>237</v>
      </c>
      <c r="E84" s="25" t="s">
        <v>238</v>
      </c>
      <c r="F84" s="22" t="s">
        <v>254</v>
      </c>
      <c r="G84" s="21" t="s">
        <v>240</v>
      </c>
      <c r="H84" s="21" t="s">
        <v>241</v>
      </c>
      <c r="I84" s="21" t="s">
        <v>255</v>
      </c>
      <c r="J84" s="22"/>
      <c r="K84" s="22"/>
      <c r="L84" s="22"/>
      <c r="M84" s="22"/>
      <c r="N84" s="22"/>
      <c r="O84" s="4">
        <f t="shared" si="1"/>
        <v>1</v>
      </c>
      <c r="P84" s="5" t="str">
        <f>IFERROR(VLOOKUP(O84,Principles!$B$4:$C$7,2,FALSE()),"")</f>
        <v>Perceivable</v>
      </c>
      <c r="Q84" s="6" t="str">
        <f>IFERROR(VLOOKUP(D84,Principles!$B$12:$D$66,3,FALSE()),"")</f>
        <v>A</v>
      </c>
      <c r="R84" s="23" t="s">
        <v>243</v>
      </c>
    </row>
    <row r="85" spans="1:18" ht="172.9">
      <c r="A85" s="14" t="s">
        <v>256</v>
      </c>
      <c r="B85" s="15" t="s">
        <v>235</v>
      </c>
      <c r="C85" s="16" t="s">
        <v>236</v>
      </c>
      <c r="D85" s="24" t="s">
        <v>237</v>
      </c>
      <c r="E85" s="25" t="s">
        <v>238</v>
      </c>
      <c r="F85" s="22" t="s">
        <v>257</v>
      </c>
      <c r="G85" s="21" t="s">
        <v>240</v>
      </c>
      <c r="H85" s="21" t="s">
        <v>241</v>
      </c>
      <c r="I85" s="21" t="s">
        <v>258</v>
      </c>
      <c r="J85" s="22"/>
      <c r="K85" s="22"/>
      <c r="L85" s="22"/>
      <c r="M85" s="22"/>
      <c r="N85" s="22"/>
      <c r="O85" s="4">
        <f t="shared" si="1"/>
        <v>1</v>
      </c>
      <c r="P85" s="5" t="str">
        <f>IFERROR(VLOOKUP(O85,Principles!$B$4:$C$7,2,FALSE()),"")</f>
        <v>Perceivable</v>
      </c>
      <c r="Q85" s="6" t="str">
        <f>IFERROR(VLOOKUP(D85,Principles!$B$12:$D$66,3,FALSE()),"")</f>
        <v>A</v>
      </c>
      <c r="R85" s="23" t="s">
        <v>243</v>
      </c>
    </row>
    <row r="86" spans="1:18" ht="129.6">
      <c r="A86" s="14" t="s">
        <v>259</v>
      </c>
      <c r="B86" s="15" t="s">
        <v>235</v>
      </c>
      <c r="C86" s="16" t="s">
        <v>236</v>
      </c>
      <c r="D86" s="24" t="s">
        <v>237</v>
      </c>
      <c r="E86" s="25" t="s">
        <v>238</v>
      </c>
      <c r="F86" s="22" t="s">
        <v>260</v>
      </c>
      <c r="G86" s="21" t="s">
        <v>240</v>
      </c>
      <c r="H86" s="21" t="s">
        <v>241</v>
      </c>
      <c r="I86" s="21" t="s">
        <v>261</v>
      </c>
      <c r="J86" s="22"/>
      <c r="K86" s="22"/>
      <c r="L86" s="22"/>
      <c r="M86" s="22"/>
      <c r="N86" s="22"/>
      <c r="O86" s="4">
        <f t="shared" si="1"/>
        <v>1</v>
      </c>
      <c r="P86" s="5" t="str">
        <f>IFERROR(VLOOKUP(O86,Principles!$B$4:$C$7,2,FALSE()),"")</f>
        <v>Perceivable</v>
      </c>
      <c r="Q86" s="6" t="str">
        <f>IFERROR(VLOOKUP(D86,Principles!$B$12:$D$66,3,FALSE()),"")</f>
        <v>A</v>
      </c>
      <c r="R86" s="23" t="s">
        <v>243</v>
      </c>
    </row>
    <row r="87" spans="1:18" ht="115.15">
      <c r="A87" s="14" t="s">
        <v>262</v>
      </c>
      <c r="B87" s="15" t="s">
        <v>235</v>
      </c>
      <c r="C87" s="16" t="s">
        <v>236</v>
      </c>
      <c r="D87" s="24" t="s">
        <v>237</v>
      </c>
      <c r="E87" s="25" t="s">
        <v>238</v>
      </c>
      <c r="F87" s="22" t="s">
        <v>263</v>
      </c>
      <c r="G87" s="21" t="s">
        <v>240</v>
      </c>
      <c r="H87" s="21" t="s">
        <v>241</v>
      </c>
      <c r="I87" s="21" t="s">
        <v>264</v>
      </c>
      <c r="J87" s="22"/>
      <c r="K87" s="22"/>
      <c r="L87" s="22"/>
      <c r="M87" s="22"/>
      <c r="N87" s="22"/>
      <c r="O87" s="4">
        <f t="shared" si="1"/>
        <v>1</v>
      </c>
      <c r="P87" s="5" t="str">
        <f>IFERROR(VLOOKUP(O87,Principles!$B$4:$C$7,2,FALSE()),"")</f>
        <v>Perceivable</v>
      </c>
      <c r="Q87" s="6" t="str">
        <f>IFERROR(VLOOKUP(D87,Principles!$B$12:$D$66,3,FALSE()),"")</f>
        <v>A</v>
      </c>
      <c r="R87" s="23" t="s">
        <v>243</v>
      </c>
    </row>
    <row r="88" spans="1:18" ht="115.15">
      <c r="A88" s="14" t="s">
        <v>265</v>
      </c>
      <c r="B88" s="15" t="s">
        <v>235</v>
      </c>
      <c r="C88" s="16" t="s">
        <v>236</v>
      </c>
      <c r="D88" s="24" t="s">
        <v>237</v>
      </c>
      <c r="E88" s="25" t="s">
        <v>238</v>
      </c>
      <c r="F88" s="22" t="s">
        <v>266</v>
      </c>
      <c r="G88" s="21" t="s">
        <v>240</v>
      </c>
      <c r="H88" s="21" t="s">
        <v>241</v>
      </c>
      <c r="I88" s="21" t="s">
        <v>267</v>
      </c>
      <c r="J88" s="22"/>
      <c r="K88" s="22"/>
      <c r="L88" s="22"/>
      <c r="M88" s="22"/>
      <c r="N88" s="22"/>
      <c r="O88" s="4">
        <f t="shared" si="1"/>
        <v>1</v>
      </c>
      <c r="P88" s="5" t="str">
        <f>IFERROR(VLOOKUP(O88,Principles!$B$4:$C$7,2,FALSE()),"")</f>
        <v>Perceivable</v>
      </c>
      <c r="Q88" s="6" t="str">
        <f>IFERROR(VLOOKUP(D88,Principles!$B$12:$D$66,3,FALSE()),"")</f>
        <v>A</v>
      </c>
      <c r="R88" s="23" t="s">
        <v>243</v>
      </c>
    </row>
    <row r="89" spans="1:18" ht="115.15">
      <c r="A89" s="14" t="s">
        <v>268</v>
      </c>
      <c r="B89" s="15" t="s">
        <v>235</v>
      </c>
      <c r="C89" s="16" t="s">
        <v>236</v>
      </c>
      <c r="D89" s="24" t="s">
        <v>237</v>
      </c>
      <c r="E89" s="25" t="s">
        <v>238</v>
      </c>
      <c r="F89" s="22" t="s">
        <v>269</v>
      </c>
      <c r="G89" s="21" t="s">
        <v>240</v>
      </c>
      <c r="H89" s="21" t="s">
        <v>241</v>
      </c>
      <c r="I89" s="21" t="s">
        <v>270</v>
      </c>
      <c r="J89" s="22"/>
      <c r="K89" s="22"/>
      <c r="L89" s="22"/>
      <c r="M89" s="22"/>
      <c r="N89" s="22"/>
      <c r="O89" s="4">
        <f t="shared" si="1"/>
        <v>1</v>
      </c>
      <c r="P89" s="5" t="str">
        <f>IFERROR(VLOOKUP(O89,Principles!$B$4:$C$7,2,FALSE()),"")</f>
        <v>Perceivable</v>
      </c>
      <c r="Q89" s="6" t="str">
        <f>IFERROR(VLOOKUP(D89,Principles!$B$12:$D$66,3,FALSE()),"")</f>
        <v>A</v>
      </c>
      <c r="R89" s="23" t="s">
        <v>243</v>
      </c>
    </row>
    <row r="90" spans="1:18" ht="115.15">
      <c r="A90" s="14" t="s">
        <v>271</v>
      </c>
      <c r="B90" s="15" t="s">
        <v>235</v>
      </c>
      <c r="C90" s="16" t="s">
        <v>236</v>
      </c>
      <c r="D90" s="24" t="s">
        <v>237</v>
      </c>
      <c r="E90" s="25" t="s">
        <v>238</v>
      </c>
      <c r="F90" s="22" t="s">
        <v>272</v>
      </c>
      <c r="G90" s="21" t="s">
        <v>240</v>
      </c>
      <c r="H90" s="21" t="s">
        <v>241</v>
      </c>
      <c r="I90" s="21" t="s">
        <v>273</v>
      </c>
      <c r="J90" s="22"/>
      <c r="K90" s="22"/>
      <c r="L90" s="22"/>
      <c r="M90" s="22"/>
      <c r="N90" s="22"/>
      <c r="O90" s="4">
        <f t="shared" si="1"/>
        <v>1</v>
      </c>
      <c r="P90" s="5" t="str">
        <f>IFERROR(VLOOKUP(O90,Principles!$B$4:$C$7,2,FALSE()),"")</f>
        <v>Perceivable</v>
      </c>
      <c r="Q90" s="6" t="str">
        <f>IFERROR(VLOOKUP(D90,Principles!$B$12:$D$66,3,FALSE()),"")</f>
        <v>A</v>
      </c>
      <c r="R90" s="23" t="s">
        <v>243</v>
      </c>
    </row>
    <row r="91" spans="1:18" ht="72">
      <c r="A91" s="14" t="s">
        <v>274</v>
      </c>
      <c r="B91" s="15" t="s">
        <v>235</v>
      </c>
      <c r="C91" s="16" t="s">
        <v>236</v>
      </c>
      <c r="D91" s="24" t="s">
        <v>237</v>
      </c>
      <c r="E91" s="25" t="s">
        <v>238</v>
      </c>
      <c r="F91" s="22" t="s">
        <v>275</v>
      </c>
      <c r="G91" s="21" t="s">
        <v>240</v>
      </c>
      <c r="H91" s="21" t="s">
        <v>241</v>
      </c>
      <c r="I91" s="21" t="s">
        <v>276</v>
      </c>
      <c r="J91" s="22"/>
      <c r="K91" s="22"/>
      <c r="L91" s="22"/>
      <c r="M91" s="22"/>
      <c r="N91" s="22"/>
      <c r="O91" s="4">
        <f t="shared" si="1"/>
        <v>1</v>
      </c>
      <c r="P91" s="5" t="str">
        <f>IFERROR(VLOOKUP(O91,Principles!$B$4:$C$7,2,FALSE()),"")</f>
        <v>Perceivable</v>
      </c>
      <c r="Q91" s="6" t="str">
        <f>IFERROR(VLOOKUP(D91,Principles!$B$12:$D$66,3,FALSE()),"")</f>
        <v>A</v>
      </c>
      <c r="R91" s="23" t="s">
        <v>243</v>
      </c>
    </row>
    <row r="92" spans="1:18" ht="100.9">
      <c r="A92" s="14" t="s">
        <v>277</v>
      </c>
      <c r="B92" s="15" t="s">
        <v>235</v>
      </c>
      <c r="C92" s="16" t="s">
        <v>236</v>
      </c>
      <c r="D92" s="24" t="s">
        <v>237</v>
      </c>
      <c r="E92" s="25" t="s">
        <v>238</v>
      </c>
      <c r="F92" s="22" t="s">
        <v>278</v>
      </c>
      <c r="G92" s="21" t="s">
        <v>240</v>
      </c>
      <c r="H92" s="21" t="s">
        <v>241</v>
      </c>
      <c r="I92" s="21" t="s">
        <v>279</v>
      </c>
      <c r="J92" s="22"/>
      <c r="K92" s="22"/>
      <c r="L92" s="22"/>
      <c r="M92" s="22"/>
      <c r="N92" s="22"/>
      <c r="O92" s="4">
        <f t="shared" si="1"/>
        <v>1</v>
      </c>
      <c r="P92" s="5" t="str">
        <f>IFERROR(VLOOKUP(O92,Principles!$B$4:$C$7,2,FALSE()),"")</f>
        <v>Perceivable</v>
      </c>
      <c r="Q92" s="6" t="str">
        <f>IFERROR(VLOOKUP(D92,Principles!$B$12:$D$66,3,FALSE()),"")</f>
        <v>A</v>
      </c>
      <c r="R92" s="23" t="s">
        <v>243</v>
      </c>
    </row>
    <row r="93" spans="1:18" ht="100.9">
      <c r="A93" s="14" t="s">
        <v>280</v>
      </c>
      <c r="B93" s="15" t="s">
        <v>235</v>
      </c>
      <c r="C93" s="16" t="s">
        <v>236</v>
      </c>
      <c r="D93" s="24" t="s">
        <v>237</v>
      </c>
      <c r="E93" s="25" t="s">
        <v>238</v>
      </c>
      <c r="F93" s="22" t="s">
        <v>281</v>
      </c>
      <c r="G93" s="21" t="s">
        <v>240</v>
      </c>
      <c r="H93" s="21" t="s">
        <v>241</v>
      </c>
      <c r="I93" s="21" t="s">
        <v>282</v>
      </c>
      <c r="J93" s="22"/>
      <c r="K93" s="22"/>
      <c r="L93" s="22"/>
      <c r="M93" s="22"/>
      <c r="N93" s="22"/>
      <c r="O93" s="4">
        <f t="shared" si="1"/>
        <v>1</v>
      </c>
      <c r="P93" s="5" t="str">
        <f>IFERROR(VLOOKUP(O93,Principles!$B$4:$C$7,2,FALSE()),"")</f>
        <v>Perceivable</v>
      </c>
      <c r="Q93" s="6" t="str">
        <f>IFERROR(VLOOKUP(D93,Principles!$B$12:$D$66,3,FALSE()),"")</f>
        <v>A</v>
      </c>
      <c r="R93" s="23" t="s">
        <v>243</v>
      </c>
    </row>
    <row r="94" spans="1:18" ht="244.9">
      <c r="A94" s="14" t="s">
        <v>283</v>
      </c>
      <c r="B94" s="15" t="s">
        <v>235</v>
      </c>
      <c r="C94" s="16" t="s">
        <v>236</v>
      </c>
      <c r="D94" s="24" t="s">
        <v>237</v>
      </c>
      <c r="E94" s="25" t="s">
        <v>238</v>
      </c>
      <c r="F94" s="22" t="s">
        <v>284</v>
      </c>
      <c r="G94" s="21" t="s">
        <v>240</v>
      </c>
      <c r="H94" s="21" t="s">
        <v>241</v>
      </c>
      <c r="I94" s="21" t="s">
        <v>285</v>
      </c>
      <c r="J94" s="22"/>
      <c r="K94" s="22"/>
      <c r="L94" s="22"/>
      <c r="M94" s="22"/>
      <c r="N94" s="22"/>
      <c r="O94" s="4">
        <f t="shared" si="1"/>
        <v>1</v>
      </c>
      <c r="P94" s="5" t="str">
        <f>IFERROR(VLOOKUP(O94,Principles!$B$4:$C$7,2,FALSE()),"")</f>
        <v>Perceivable</v>
      </c>
      <c r="Q94" s="6" t="str">
        <f>IFERROR(VLOOKUP(D94,Principles!$B$12:$D$66,3,FALSE()),"")</f>
        <v>A</v>
      </c>
      <c r="R94" s="23" t="s">
        <v>243</v>
      </c>
    </row>
    <row r="95" spans="1:18" ht="288">
      <c r="A95" s="14" t="s">
        <v>286</v>
      </c>
      <c r="B95" s="15" t="s">
        <v>235</v>
      </c>
      <c r="C95" s="16" t="s">
        <v>236</v>
      </c>
      <c r="D95" s="24" t="s">
        <v>237</v>
      </c>
      <c r="E95" s="25" t="s">
        <v>238</v>
      </c>
      <c r="F95" s="22" t="s">
        <v>287</v>
      </c>
      <c r="G95" s="21" t="s">
        <v>240</v>
      </c>
      <c r="H95" s="21" t="s">
        <v>241</v>
      </c>
      <c r="I95" s="21" t="s">
        <v>288</v>
      </c>
      <c r="J95" s="22"/>
      <c r="K95" s="22"/>
      <c r="L95" s="22"/>
      <c r="M95" s="22"/>
      <c r="N95" s="22"/>
      <c r="O95" s="4">
        <f t="shared" si="1"/>
        <v>1</v>
      </c>
      <c r="P95" s="5" t="str">
        <f>IFERROR(VLOOKUP(O95,Principles!$B$4:$C$7,2,FALSE()),"")</f>
        <v>Perceivable</v>
      </c>
      <c r="Q95" s="6" t="str">
        <f>IFERROR(VLOOKUP(D95,Principles!$B$12:$D$66,3,FALSE()),"")</f>
        <v>A</v>
      </c>
      <c r="R95" s="23" t="s">
        <v>243</v>
      </c>
    </row>
    <row r="96" spans="1:18" ht="115.15">
      <c r="A96" s="14" t="s">
        <v>289</v>
      </c>
      <c r="B96" s="15" t="s">
        <v>235</v>
      </c>
      <c r="C96" s="16" t="s">
        <v>236</v>
      </c>
      <c r="D96" s="24" t="s">
        <v>237</v>
      </c>
      <c r="E96" s="25" t="s">
        <v>238</v>
      </c>
      <c r="F96" s="22" t="s">
        <v>290</v>
      </c>
      <c r="G96" s="21" t="s">
        <v>240</v>
      </c>
      <c r="H96" s="21" t="s">
        <v>241</v>
      </c>
      <c r="I96" s="21" t="s">
        <v>291</v>
      </c>
      <c r="J96" s="22"/>
      <c r="K96" s="22"/>
      <c r="L96" s="22"/>
      <c r="M96" s="22"/>
      <c r="N96" s="22"/>
      <c r="O96" s="4">
        <f t="shared" si="1"/>
        <v>1</v>
      </c>
      <c r="P96" s="5" t="str">
        <f>IFERROR(VLOOKUP(O96,Principles!$B$4:$C$7,2,FALSE()),"")</f>
        <v>Perceivable</v>
      </c>
      <c r="Q96" s="6" t="str">
        <f>IFERROR(VLOOKUP(D96,Principles!$B$12:$D$66,3,FALSE()),"")</f>
        <v>A</v>
      </c>
      <c r="R96" s="23" t="s">
        <v>243</v>
      </c>
    </row>
    <row r="97" spans="1:18" ht="115.15">
      <c r="A97" s="14" t="s">
        <v>292</v>
      </c>
      <c r="B97" s="15" t="s">
        <v>235</v>
      </c>
      <c r="C97" s="16" t="s">
        <v>236</v>
      </c>
      <c r="D97" s="24" t="s">
        <v>237</v>
      </c>
      <c r="E97" s="25" t="s">
        <v>238</v>
      </c>
      <c r="F97" s="22" t="s">
        <v>293</v>
      </c>
      <c r="G97" s="21" t="s">
        <v>240</v>
      </c>
      <c r="H97" s="21" t="s">
        <v>241</v>
      </c>
      <c r="I97" s="21" t="s">
        <v>294</v>
      </c>
      <c r="J97" s="22"/>
      <c r="K97" s="22"/>
      <c r="L97" s="22"/>
      <c r="M97" s="22"/>
      <c r="N97" s="22"/>
      <c r="O97" s="4">
        <f t="shared" si="1"/>
        <v>1</v>
      </c>
      <c r="P97" s="5" t="str">
        <f>IFERROR(VLOOKUP(O97,Principles!$B$4:$C$7,2,FALSE()),"")</f>
        <v>Perceivable</v>
      </c>
      <c r="Q97" s="6" t="str">
        <f>IFERROR(VLOOKUP(D97,Principles!$B$12:$D$66,3,FALSE()),"")</f>
        <v>A</v>
      </c>
      <c r="R97" s="23" t="s">
        <v>243</v>
      </c>
    </row>
    <row r="98" spans="1:18" ht="273.60000000000002">
      <c r="A98" s="14" t="s">
        <v>295</v>
      </c>
      <c r="B98" s="15" t="s">
        <v>235</v>
      </c>
      <c r="C98" s="16" t="s">
        <v>236</v>
      </c>
      <c r="D98" s="24" t="s">
        <v>237</v>
      </c>
      <c r="E98" s="25" t="s">
        <v>238</v>
      </c>
      <c r="F98" s="22" t="s">
        <v>296</v>
      </c>
      <c r="G98" s="21" t="s">
        <v>240</v>
      </c>
      <c r="H98" s="21" t="s">
        <v>241</v>
      </c>
      <c r="I98" s="21" t="s">
        <v>297</v>
      </c>
      <c r="J98" s="22"/>
      <c r="K98" s="22"/>
      <c r="L98" s="22"/>
      <c r="M98" s="22"/>
      <c r="N98" s="22"/>
      <c r="O98" s="4">
        <f t="shared" si="1"/>
        <v>1</v>
      </c>
      <c r="P98" s="5" t="str">
        <f>IFERROR(VLOOKUP(O98,Principles!$B$4:$C$7,2,FALSE()),"")</f>
        <v>Perceivable</v>
      </c>
      <c r="Q98" s="6" t="str">
        <f>IFERROR(VLOOKUP(D98,Principles!$B$12:$D$66,3,FALSE()),"")</f>
        <v>A</v>
      </c>
      <c r="R98" s="23" t="s">
        <v>243</v>
      </c>
    </row>
    <row r="99" spans="1:18" ht="273.60000000000002">
      <c r="A99" s="14" t="s">
        <v>85</v>
      </c>
      <c r="B99" s="15" t="s">
        <v>235</v>
      </c>
      <c r="C99" s="16" t="s">
        <v>236</v>
      </c>
      <c r="D99" s="24" t="s">
        <v>237</v>
      </c>
      <c r="E99" s="25" t="s">
        <v>238</v>
      </c>
      <c r="F99" s="22" t="s">
        <v>298</v>
      </c>
      <c r="G99" s="21" t="s">
        <v>240</v>
      </c>
      <c r="H99" s="21" t="s">
        <v>241</v>
      </c>
      <c r="I99" s="21" t="s">
        <v>87</v>
      </c>
      <c r="J99" s="22"/>
      <c r="K99" s="22"/>
      <c r="L99" s="22"/>
      <c r="M99" s="22"/>
      <c r="N99" s="22"/>
      <c r="O99" s="4">
        <f t="shared" si="1"/>
        <v>1</v>
      </c>
      <c r="P99" s="5" t="str">
        <f>IFERROR(VLOOKUP(O99,Principles!$B$4:$C$7,2,FALSE()),"")</f>
        <v>Perceivable</v>
      </c>
      <c r="Q99" s="6" t="str">
        <f>IFERROR(VLOOKUP(D99,Principles!$B$12:$D$66,3,FALSE()),"")</f>
        <v>A</v>
      </c>
      <c r="R99" s="23" t="s">
        <v>243</v>
      </c>
    </row>
    <row r="100" spans="1:18" ht="172.9">
      <c r="A100" s="14" t="s">
        <v>91</v>
      </c>
      <c r="B100" s="15" t="s">
        <v>235</v>
      </c>
      <c r="C100" s="16" t="s">
        <v>236</v>
      </c>
      <c r="D100" s="24" t="s">
        <v>237</v>
      </c>
      <c r="E100" s="25" t="s">
        <v>238</v>
      </c>
      <c r="F100" s="22" t="s">
        <v>299</v>
      </c>
      <c r="G100" s="21" t="s">
        <v>240</v>
      </c>
      <c r="H100" s="21" t="s">
        <v>241</v>
      </c>
      <c r="I100" s="21" t="s">
        <v>93</v>
      </c>
      <c r="J100" s="22"/>
      <c r="K100" s="22"/>
      <c r="L100" s="22"/>
      <c r="M100" s="22"/>
      <c r="N100" s="22"/>
      <c r="O100" s="4">
        <f t="shared" si="1"/>
        <v>1</v>
      </c>
      <c r="P100" s="5" t="str">
        <f>IFERROR(VLOOKUP(O100,Principles!$B$4:$C$7,2,FALSE()),"")</f>
        <v>Perceivable</v>
      </c>
      <c r="Q100" s="6" t="str">
        <f>IFERROR(VLOOKUP(D100,Principles!$B$12:$D$66,3,FALSE()),"")</f>
        <v>A</v>
      </c>
      <c r="R100" s="23" t="s">
        <v>243</v>
      </c>
    </row>
    <row r="101" spans="1:18" ht="187.15">
      <c r="A101" s="14" t="s">
        <v>300</v>
      </c>
      <c r="B101" s="15" t="s">
        <v>235</v>
      </c>
      <c r="C101" s="16" t="s">
        <v>236</v>
      </c>
      <c r="D101" s="24" t="s">
        <v>237</v>
      </c>
      <c r="E101" s="25" t="s">
        <v>238</v>
      </c>
      <c r="F101" s="22" t="s">
        <v>301</v>
      </c>
      <c r="G101" s="21" t="s">
        <v>240</v>
      </c>
      <c r="H101" s="21" t="s">
        <v>241</v>
      </c>
      <c r="I101" s="21" t="s">
        <v>302</v>
      </c>
      <c r="J101" s="22"/>
      <c r="K101" s="22"/>
      <c r="L101" s="22"/>
      <c r="M101" s="22"/>
      <c r="N101" s="22"/>
      <c r="O101" s="4">
        <f t="shared" si="1"/>
        <v>1</v>
      </c>
      <c r="P101" s="5" t="str">
        <f>IFERROR(VLOOKUP(O101,Principles!$B$4:$C$7,2,FALSE()),"")</f>
        <v>Perceivable</v>
      </c>
      <c r="Q101" s="6" t="str">
        <f>IFERROR(VLOOKUP(D101,Principles!$B$12:$D$66,3,FALSE()),"")</f>
        <v>A</v>
      </c>
      <c r="R101" s="23" t="s">
        <v>243</v>
      </c>
    </row>
    <row r="102" spans="1:18" ht="216">
      <c r="A102" s="14" t="s">
        <v>303</v>
      </c>
      <c r="B102" s="15" t="s">
        <v>235</v>
      </c>
      <c r="C102" s="16" t="s">
        <v>236</v>
      </c>
      <c r="D102" s="24" t="s">
        <v>237</v>
      </c>
      <c r="E102" s="25" t="s">
        <v>238</v>
      </c>
      <c r="F102" s="22" t="s">
        <v>304</v>
      </c>
      <c r="G102" s="21" t="s">
        <v>240</v>
      </c>
      <c r="H102" s="21" t="s">
        <v>241</v>
      </c>
      <c r="I102" s="21" t="s">
        <v>305</v>
      </c>
      <c r="J102" s="22"/>
      <c r="K102" s="22"/>
      <c r="L102" s="22"/>
      <c r="M102" s="22"/>
      <c r="N102" s="22"/>
      <c r="O102" s="4">
        <f t="shared" si="1"/>
        <v>1</v>
      </c>
      <c r="P102" s="5" t="str">
        <f>IFERROR(VLOOKUP(O102,Principles!$B$4:$C$7,2,FALSE()),"")</f>
        <v>Perceivable</v>
      </c>
      <c r="Q102" s="6" t="str">
        <f>IFERROR(VLOOKUP(D102,Principles!$B$12:$D$66,3,FALSE()),"")</f>
        <v>A</v>
      </c>
      <c r="R102" s="23" t="s">
        <v>243</v>
      </c>
    </row>
    <row r="103" spans="1:18" ht="158.44999999999999">
      <c r="A103" s="14" t="s">
        <v>306</v>
      </c>
      <c r="B103" s="15" t="s">
        <v>235</v>
      </c>
      <c r="C103" s="16" t="s">
        <v>236</v>
      </c>
      <c r="D103" s="24" t="s">
        <v>237</v>
      </c>
      <c r="E103" s="25" t="s">
        <v>238</v>
      </c>
      <c r="F103" s="22" t="s">
        <v>307</v>
      </c>
      <c r="G103" s="21" t="s">
        <v>240</v>
      </c>
      <c r="H103" s="21" t="s">
        <v>241</v>
      </c>
      <c r="I103" s="21" t="s">
        <v>308</v>
      </c>
      <c r="J103" s="22"/>
      <c r="K103" s="22"/>
      <c r="L103" s="22"/>
      <c r="M103" s="22"/>
      <c r="N103" s="22"/>
      <c r="O103" s="4">
        <f t="shared" si="1"/>
        <v>1</v>
      </c>
      <c r="P103" s="5" t="str">
        <f>IFERROR(VLOOKUP(O103,Principles!$B$4:$C$7,2,FALSE()),"")</f>
        <v>Perceivable</v>
      </c>
      <c r="Q103" s="6" t="str">
        <f>IFERROR(VLOOKUP(D103,Principles!$B$12:$D$66,3,FALSE()),"")</f>
        <v>A</v>
      </c>
      <c r="R103" s="23" t="s">
        <v>243</v>
      </c>
    </row>
    <row r="104" spans="1:18" ht="100.9">
      <c r="A104" s="14" t="s">
        <v>309</v>
      </c>
      <c r="B104" s="15" t="s">
        <v>235</v>
      </c>
      <c r="C104" s="16" t="s">
        <v>236</v>
      </c>
      <c r="D104" s="24" t="s">
        <v>237</v>
      </c>
      <c r="E104" s="25" t="s">
        <v>238</v>
      </c>
      <c r="F104" s="22" t="s">
        <v>310</v>
      </c>
      <c r="G104" s="21" t="s">
        <v>240</v>
      </c>
      <c r="H104" s="21" t="s">
        <v>241</v>
      </c>
      <c r="I104" s="21" t="s">
        <v>311</v>
      </c>
      <c r="J104" s="22"/>
      <c r="K104" s="22"/>
      <c r="L104" s="22"/>
      <c r="M104" s="22"/>
      <c r="N104" s="22"/>
      <c r="O104" s="4">
        <f t="shared" si="1"/>
        <v>1</v>
      </c>
      <c r="P104" s="5" t="str">
        <f>IFERROR(VLOOKUP(O104,Principles!$B$4:$C$7,2,FALSE()),"")</f>
        <v>Perceivable</v>
      </c>
      <c r="Q104" s="6" t="str">
        <f>IFERROR(VLOOKUP(D104,Principles!$B$12:$D$66,3,FALSE()),"")</f>
        <v>A</v>
      </c>
      <c r="R104" s="23" t="s">
        <v>243</v>
      </c>
    </row>
    <row r="105" spans="1:18" ht="144">
      <c r="A105" s="14" t="s">
        <v>312</v>
      </c>
      <c r="B105" s="15" t="s">
        <v>235</v>
      </c>
      <c r="C105" s="16" t="s">
        <v>236</v>
      </c>
      <c r="D105" s="24" t="s">
        <v>237</v>
      </c>
      <c r="E105" s="25" t="s">
        <v>238</v>
      </c>
      <c r="F105" s="22" t="s">
        <v>313</v>
      </c>
      <c r="G105" s="21" t="s">
        <v>240</v>
      </c>
      <c r="H105" s="21" t="s">
        <v>241</v>
      </c>
      <c r="I105" s="21" t="s">
        <v>314</v>
      </c>
      <c r="J105" s="22"/>
      <c r="K105" s="22"/>
      <c r="L105" s="22"/>
      <c r="M105" s="22"/>
      <c r="N105" s="22"/>
      <c r="O105" s="4">
        <f t="shared" si="1"/>
        <v>1</v>
      </c>
      <c r="P105" s="5" t="str">
        <f>IFERROR(VLOOKUP(O105,Principles!$B$4:$C$7,2,FALSE()),"")</f>
        <v>Perceivable</v>
      </c>
      <c r="Q105" s="6" t="str">
        <f>IFERROR(VLOOKUP(D105,Principles!$B$12:$D$66,3,FALSE()),"")</f>
        <v>A</v>
      </c>
      <c r="R105" s="23" t="s">
        <v>243</v>
      </c>
    </row>
    <row r="106" spans="1:18" ht="115.15">
      <c r="A106" s="14" t="s">
        <v>315</v>
      </c>
      <c r="B106" s="15" t="s">
        <v>235</v>
      </c>
      <c r="C106" s="16" t="s">
        <v>236</v>
      </c>
      <c r="D106" s="24" t="s">
        <v>237</v>
      </c>
      <c r="E106" s="25" t="s">
        <v>238</v>
      </c>
      <c r="F106" s="22" t="s">
        <v>316</v>
      </c>
      <c r="G106" s="21" t="s">
        <v>240</v>
      </c>
      <c r="H106" s="21" t="s">
        <v>241</v>
      </c>
      <c r="I106" s="21" t="s">
        <v>317</v>
      </c>
      <c r="J106" s="22"/>
      <c r="K106" s="22"/>
      <c r="L106" s="22"/>
      <c r="M106" s="22"/>
      <c r="N106" s="22"/>
      <c r="O106" s="4">
        <f t="shared" si="1"/>
        <v>1</v>
      </c>
      <c r="P106" s="5" t="str">
        <f>IFERROR(VLOOKUP(O106,Principles!$B$4:$C$7,2,FALSE()),"")</f>
        <v>Perceivable</v>
      </c>
      <c r="Q106" s="6" t="str">
        <f>IFERROR(VLOOKUP(D106,Principles!$B$12:$D$66,3,FALSE()),"")</f>
        <v>A</v>
      </c>
      <c r="R106" s="23" t="s">
        <v>243</v>
      </c>
    </row>
    <row r="107" spans="1:18" ht="129.6">
      <c r="A107" s="14" t="s">
        <v>318</v>
      </c>
      <c r="B107" s="15" t="s">
        <v>235</v>
      </c>
      <c r="C107" s="16" t="s">
        <v>236</v>
      </c>
      <c r="D107" s="24" t="s">
        <v>237</v>
      </c>
      <c r="E107" s="25" t="s">
        <v>238</v>
      </c>
      <c r="F107" s="22" t="s">
        <v>319</v>
      </c>
      <c r="G107" s="21" t="s">
        <v>240</v>
      </c>
      <c r="H107" s="21" t="s">
        <v>241</v>
      </c>
      <c r="I107" s="21" t="s">
        <v>320</v>
      </c>
      <c r="J107" s="22"/>
      <c r="K107" s="22"/>
      <c r="L107" s="22"/>
      <c r="M107" s="22"/>
      <c r="N107" s="22"/>
      <c r="O107" s="4">
        <f t="shared" si="1"/>
        <v>1</v>
      </c>
      <c r="P107" s="5" t="str">
        <f>IFERROR(VLOOKUP(O107,Principles!$B$4:$C$7,2,FALSE()),"")</f>
        <v>Perceivable</v>
      </c>
      <c r="Q107" s="6" t="str">
        <f>IFERROR(VLOOKUP(D107,Principles!$B$12:$D$66,3,FALSE()),"")</f>
        <v>A</v>
      </c>
      <c r="R107" s="23" t="s">
        <v>243</v>
      </c>
    </row>
    <row r="108" spans="1:18" ht="158.44999999999999">
      <c r="A108" s="14" t="s">
        <v>321</v>
      </c>
      <c r="B108" s="15" t="s">
        <v>235</v>
      </c>
      <c r="C108" s="16" t="s">
        <v>236</v>
      </c>
      <c r="D108" s="24" t="s">
        <v>237</v>
      </c>
      <c r="E108" s="25" t="s">
        <v>238</v>
      </c>
      <c r="F108" s="22" t="s">
        <v>322</v>
      </c>
      <c r="G108" s="21" t="s">
        <v>240</v>
      </c>
      <c r="H108" s="21" t="s">
        <v>241</v>
      </c>
      <c r="I108" s="21" t="s">
        <v>323</v>
      </c>
      <c r="J108" s="22"/>
      <c r="K108" s="22"/>
      <c r="L108" s="22"/>
      <c r="M108" s="22"/>
      <c r="N108" s="22"/>
      <c r="O108" s="4">
        <f t="shared" si="1"/>
        <v>1</v>
      </c>
      <c r="P108" s="5" t="str">
        <f>IFERROR(VLOOKUP(O108,Principles!$B$4:$C$7,2,FALSE()),"")</f>
        <v>Perceivable</v>
      </c>
      <c r="Q108" s="6" t="str">
        <f>IFERROR(VLOOKUP(D108,Principles!$B$12:$D$66,3,FALSE()),"")</f>
        <v>A</v>
      </c>
      <c r="R108" s="23" t="s">
        <v>243</v>
      </c>
    </row>
    <row r="109" spans="1:18" ht="230.45">
      <c r="A109" s="14" t="s">
        <v>324</v>
      </c>
      <c r="B109" s="15" t="s">
        <v>235</v>
      </c>
      <c r="C109" s="16" t="s">
        <v>236</v>
      </c>
      <c r="D109" s="24" t="s">
        <v>237</v>
      </c>
      <c r="E109" s="25" t="s">
        <v>238</v>
      </c>
      <c r="F109" s="22" t="s">
        <v>325</v>
      </c>
      <c r="G109" s="21" t="s">
        <v>240</v>
      </c>
      <c r="H109" s="21" t="s">
        <v>241</v>
      </c>
      <c r="I109" s="21" t="s">
        <v>326</v>
      </c>
      <c r="J109" s="22"/>
      <c r="K109" s="22"/>
      <c r="L109" s="22"/>
      <c r="M109" s="22"/>
      <c r="N109" s="22"/>
      <c r="O109" s="4">
        <f t="shared" si="1"/>
        <v>1</v>
      </c>
      <c r="P109" s="5" t="str">
        <f>IFERROR(VLOOKUP(O109,Principles!$B$4:$C$7,2,FALSE()),"")</f>
        <v>Perceivable</v>
      </c>
      <c r="Q109" s="6" t="str">
        <f>IFERROR(VLOOKUP(D109,Principles!$B$12:$D$66,3,FALSE()),"")</f>
        <v>A</v>
      </c>
      <c r="R109" s="23" t="s">
        <v>243</v>
      </c>
    </row>
    <row r="110" spans="1:18" ht="172.9">
      <c r="A110" s="14" t="s">
        <v>327</v>
      </c>
      <c r="B110" s="15" t="s">
        <v>235</v>
      </c>
      <c r="C110" s="16" t="s">
        <v>236</v>
      </c>
      <c r="D110" s="24" t="s">
        <v>237</v>
      </c>
      <c r="E110" s="25" t="s">
        <v>238</v>
      </c>
      <c r="F110" s="22" t="s">
        <v>328</v>
      </c>
      <c r="G110" s="21" t="s">
        <v>240</v>
      </c>
      <c r="H110" s="21" t="s">
        <v>241</v>
      </c>
      <c r="I110" s="21" t="s">
        <v>329</v>
      </c>
      <c r="J110" s="22"/>
      <c r="K110" s="22"/>
      <c r="L110" s="22"/>
      <c r="M110" s="22"/>
      <c r="N110" s="22"/>
      <c r="O110" s="4">
        <f t="shared" si="1"/>
        <v>1</v>
      </c>
      <c r="P110" s="5" t="str">
        <f>IFERROR(VLOOKUP(O110,Principles!$B$4:$C$7,2,FALSE()),"")</f>
        <v>Perceivable</v>
      </c>
      <c r="Q110" s="6" t="str">
        <f>IFERROR(VLOOKUP(D110,Principles!$B$12:$D$66,3,FALSE()),"")</f>
        <v>A</v>
      </c>
      <c r="R110" s="23" t="s">
        <v>243</v>
      </c>
    </row>
    <row r="111" spans="1:18" ht="72">
      <c r="A111" s="14" t="s">
        <v>330</v>
      </c>
      <c r="B111" s="15" t="s">
        <v>235</v>
      </c>
      <c r="C111" s="16" t="s">
        <v>236</v>
      </c>
      <c r="D111" s="24" t="s">
        <v>237</v>
      </c>
      <c r="E111" s="25" t="s">
        <v>238</v>
      </c>
      <c r="F111" s="22" t="s">
        <v>331</v>
      </c>
      <c r="G111" s="21" t="s">
        <v>240</v>
      </c>
      <c r="H111" s="21" t="s">
        <v>241</v>
      </c>
      <c r="I111" s="21" t="s">
        <v>332</v>
      </c>
      <c r="J111" s="22"/>
      <c r="K111" s="22"/>
      <c r="L111" s="22"/>
      <c r="M111" s="22"/>
      <c r="N111" s="22"/>
      <c r="O111" s="4">
        <f t="shared" si="1"/>
        <v>1</v>
      </c>
      <c r="P111" s="5" t="str">
        <f>IFERROR(VLOOKUP(O111,Principles!$B$4:$C$7,2,FALSE()),"")</f>
        <v>Perceivable</v>
      </c>
      <c r="Q111" s="6" t="str">
        <f>IFERROR(VLOOKUP(D111,Principles!$B$12:$D$66,3,FALSE()),"")</f>
        <v>A</v>
      </c>
      <c r="R111" s="23" t="s">
        <v>243</v>
      </c>
    </row>
    <row r="112" spans="1:18" ht="129.6">
      <c r="A112" s="14" t="s">
        <v>333</v>
      </c>
      <c r="B112" s="15" t="s">
        <v>235</v>
      </c>
      <c r="C112" s="16" t="s">
        <v>236</v>
      </c>
      <c r="D112" s="24" t="s">
        <v>237</v>
      </c>
      <c r="E112" s="25" t="s">
        <v>238</v>
      </c>
      <c r="F112" s="22" t="s">
        <v>334</v>
      </c>
      <c r="G112" s="21" t="s">
        <v>240</v>
      </c>
      <c r="H112" s="21" t="s">
        <v>241</v>
      </c>
      <c r="I112" s="21" t="s">
        <v>335</v>
      </c>
      <c r="J112" s="22"/>
      <c r="K112" s="22"/>
      <c r="L112" s="22"/>
      <c r="M112" s="22"/>
      <c r="N112" s="22"/>
      <c r="O112" s="4">
        <f t="shared" si="1"/>
        <v>1</v>
      </c>
      <c r="P112" s="5" t="str">
        <f>IFERROR(VLOOKUP(O112,Principles!$B$4:$C$7,2,FALSE()),"")</f>
        <v>Perceivable</v>
      </c>
      <c r="Q112" s="6" t="str">
        <f>IFERROR(VLOOKUP(D112,Principles!$B$12:$D$66,3,FALSE()),"")</f>
        <v>A</v>
      </c>
      <c r="R112" s="23" t="s">
        <v>243</v>
      </c>
    </row>
    <row r="113" spans="1:18" ht="129.6">
      <c r="A113" s="14" t="s">
        <v>336</v>
      </c>
      <c r="B113" s="15" t="s">
        <v>235</v>
      </c>
      <c r="C113" s="16" t="s">
        <v>236</v>
      </c>
      <c r="D113" s="24" t="s">
        <v>237</v>
      </c>
      <c r="E113" s="25" t="s">
        <v>238</v>
      </c>
      <c r="F113" s="22" t="s">
        <v>337</v>
      </c>
      <c r="G113" s="21" t="s">
        <v>240</v>
      </c>
      <c r="H113" s="21" t="s">
        <v>241</v>
      </c>
      <c r="I113" s="21" t="s">
        <v>338</v>
      </c>
      <c r="J113" s="22"/>
      <c r="K113" s="22"/>
      <c r="L113" s="22"/>
      <c r="M113" s="22"/>
      <c r="N113" s="22"/>
      <c r="O113" s="4">
        <f t="shared" si="1"/>
        <v>1</v>
      </c>
      <c r="P113" s="5" t="str">
        <f>IFERROR(VLOOKUP(O113,Principles!$B$4:$C$7,2,FALSE()),"")</f>
        <v>Perceivable</v>
      </c>
      <c r="Q113" s="6" t="str">
        <f>IFERROR(VLOOKUP(D113,Principles!$B$12:$D$66,3,FALSE()),"")</f>
        <v>A</v>
      </c>
      <c r="R113" s="23" t="s">
        <v>243</v>
      </c>
    </row>
    <row r="114" spans="1:18" ht="100.9">
      <c r="A114" s="14" t="s">
        <v>339</v>
      </c>
      <c r="B114" s="15" t="s">
        <v>235</v>
      </c>
      <c r="C114" s="16" t="s">
        <v>236</v>
      </c>
      <c r="D114" s="24" t="s">
        <v>237</v>
      </c>
      <c r="E114" s="25" t="s">
        <v>238</v>
      </c>
      <c r="F114" s="22" t="s">
        <v>340</v>
      </c>
      <c r="G114" s="21" t="s">
        <v>240</v>
      </c>
      <c r="H114" s="21" t="s">
        <v>241</v>
      </c>
      <c r="I114" s="21" t="s">
        <v>341</v>
      </c>
      <c r="J114" s="22"/>
      <c r="K114" s="22"/>
      <c r="L114" s="22"/>
      <c r="M114" s="22"/>
      <c r="N114" s="22"/>
      <c r="O114" s="4">
        <f t="shared" si="1"/>
        <v>1</v>
      </c>
      <c r="P114" s="5" t="str">
        <f>IFERROR(VLOOKUP(O114,Principles!$B$4:$C$7,2,FALSE()),"")</f>
        <v>Perceivable</v>
      </c>
      <c r="Q114" s="6" t="str">
        <f>IFERROR(VLOOKUP(D114,Principles!$B$12:$D$66,3,FALSE()),"")</f>
        <v>A</v>
      </c>
      <c r="R114" s="23" t="s">
        <v>243</v>
      </c>
    </row>
    <row r="115" spans="1:18" ht="216">
      <c r="A115" s="14" t="s">
        <v>342</v>
      </c>
      <c r="B115" s="15" t="s">
        <v>235</v>
      </c>
      <c r="C115" s="16" t="s">
        <v>236</v>
      </c>
      <c r="D115" s="24" t="s">
        <v>237</v>
      </c>
      <c r="E115" s="25" t="s">
        <v>238</v>
      </c>
      <c r="F115" s="22" t="s">
        <v>343</v>
      </c>
      <c r="G115" s="21" t="s">
        <v>240</v>
      </c>
      <c r="H115" s="21" t="s">
        <v>241</v>
      </c>
      <c r="I115" s="21" t="s">
        <v>344</v>
      </c>
      <c r="J115" s="22"/>
      <c r="K115" s="22"/>
      <c r="L115" s="22"/>
      <c r="M115" s="22"/>
      <c r="N115" s="22"/>
      <c r="O115" s="4">
        <f t="shared" si="1"/>
        <v>1</v>
      </c>
      <c r="P115" s="5" t="str">
        <f>IFERROR(VLOOKUP(O115,Principles!$B$4:$C$7,2,FALSE()),"")</f>
        <v>Perceivable</v>
      </c>
      <c r="Q115" s="6" t="str">
        <f>IFERROR(VLOOKUP(D115,Principles!$B$12:$D$66,3,FALSE()),"")</f>
        <v>A</v>
      </c>
      <c r="R115" s="23" t="s">
        <v>243</v>
      </c>
    </row>
    <row r="116" spans="1:18" ht="115.15">
      <c r="A116" s="14" t="s">
        <v>345</v>
      </c>
      <c r="B116" s="15" t="s">
        <v>235</v>
      </c>
      <c r="C116" s="16" t="s">
        <v>236</v>
      </c>
      <c r="D116" s="24" t="s">
        <v>237</v>
      </c>
      <c r="E116" s="25" t="s">
        <v>238</v>
      </c>
      <c r="F116" s="22" t="s">
        <v>346</v>
      </c>
      <c r="G116" s="21" t="s">
        <v>240</v>
      </c>
      <c r="H116" s="21" t="s">
        <v>241</v>
      </c>
      <c r="I116" s="21" t="s">
        <v>347</v>
      </c>
      <c r="J116" s="22"/>
      <c r="K116" s="22"/>
      <c r="L116" s="22"/>
      <c r="M116" s="22"/>
      <c r="N116" s="22"/>
      <c r="O116" s="4">
        <f t="shared" si="1"/>
        <v>1</v>
      </c>
      <c r="P116" s="5" t="str">
        <f>IFERROR(VLOOKUP(O116,Principles!$B$4:$C$7,2,FALSE()),"")</f>
        <v>Perceivable</v>
      </c>
      <c r="Q116" s="6" t="str">
        <f>IFERROR(VLOOKUP(D116,Principles!$B$12:$D$66,3,FALSE()),"")</f>
        <v>A</v>
      </c>
      <c r="R116" s="23" t="s">
        <v>243</v>
      </c>
    </row>
    <row r="117" spans="1:18" ht="100.9">
      <c r="A117" s="14" t="s">
        <v>348</v>
      </c>
      <c r="B117" s="15" t="s">
        <v>235</v>
      </c>
      <c r="C117" s="16" t="s">
        <v>236</v>
      </c>
      <c r="D117" s="24" t="s">
        <v>237</v>
      </c>
      <c r="E117" s="25" t="s">
        <v>238</v>
      </c>
      <c r="F117" s="22" t="s">
        <v>349</v>
      </c>
      <c r="G117" s="21" t="s">
        <v>240</v>
      </c>
      <c r="H117" s="21" t="s">
        <v>241</v>
      </c>
      <c r="I117" s="21" t="s">
        <v>350</v>
      </c>
      <c r="J117" s="22"/>
      <c r="K117" s="22"/>
      <c r="L117" s="22"/>
      <c r="M117" s="22"/>
      <c r="N117" s="22"/>
      <c r="O117" s="4">
        <f t="shared" si="1"/>
        <v>1</v>
      </c>
      <c r="P117" s="5" t="str">
        <f>IFERROR(VLOOKUP(O117,Principles!$B$4:$C$7,2,FALSE()),"")</f>
        <v>Perceivable</v>
      </c>
      <c r="Q117" s="6" t="str">
        <f>IFERROR(VLOOKUP(D117,Principles!$B$12:$D$66,3,FALSE()),"")</f>
        <v>A</v>
      </c>
      <c r="R117" s="23" t="s">
        <v>243</v>
      </c>
    </row>
    <row r="118" spans="1:18" ht="144">
      <c r="A118" s="14" t="s">
        <v>351</v>
      </c>
      <c r="B118" s="15" t="s">
        <v>235</v>
      </c>
      <c r="C118" s="16" t="s">
        <v>236</v>
      </c>
      <c r="D118" s="24" t="s">
        <v>237</v>
      </c>
      <c r="E118" s="25" t="s">
        <v>238</v>
      </c>
      <c r="F118" s="22" t="s">
        <v>352</v>
      </c>
      <c r="G118" s="21" t="s">
        <v>240</v>
      </c>
      <c r="H118" s="21" t="s">
        <v>241</v>
      </c>
      <c r="I118" s="21" t="s">
        <v>353</v>
      </c>
      <c r="J118" s="22"/>
      <c r="K118" s="22"/>
      <c r="L118" s="22"/>
      <c r="M118" s="22"/>
      <c r="N118" s="22"/>
      <c r="O118" s="4">
        <f t="shared" si="1"/>
        <v>1</v>
      </c>
      <c r="P118" s="5" t="str">
        <f>IFERROR(VLOOKUP(O118,Principles!$B$4:$C$7,2,FALSE()),"")</f>
        <v>Perceivable</v>
      </c>
      <c r="Q118" s="6" t="str">
        <f>IFERROR(VLOOKUP(D118,Principles!$B$12:$D$66,3,FALSE()),"")</f>
        <v>A</v>
      </c>
      <c r="R118" s="23" t="s">
        <v>243</v>
      </c>
    </row>
    <row r="119" spans="1:18" ht="100.9">
      <c r="A119" s="14" t="s">
        <v>354</v>
      </c>
      <c r="B119" s="15" t="s">
        <v>235</v>
      </c>
      <c r="C119" s="16" t="s">
        <v>236</v>
      </c>
      <c r="D119" s="24" t="s">
        <v>237</v>
      </c>
      <c r="E119" s="25" t="s">
        <v>238</v>
      </c>
      <c r="F119" s="22" t="s">
        <v>355</v>
      </c>
      <c r="G119" s="21" t="s">
        <v>240</v>
      </c>
      <c r="H119" s="21" t="s">
        <v>241</v>
      </c>
      <c r="I119" s="21" t="s">
        <v>356</v>
      </c>
      <c r="J119" s="22"/>
      <c r="K119" s="22"/>
      <c r="L119" s="22"/>
      <c r="M119" s="22"/>
      <c r="N119" s="22"/>
      <c r="O119" s="4">
        <f t="shared" si="1"/>
        <v>1</v>
      </c>
      <c r="P119" s="5" t="str">
        <f>IFERROR(VLOOKUP(O119,Principles!$B$4:$C$7,2,FALSE()),"")</f>
        <v>Perceivable</v>
      </c>
      <c r="Q119" s="6" t="str">
        <f>IFERROR(VLOOKUP(D119,Principles!$B$12:$D$66,3,FALSE()),"")</f>
        <v>A</v>
      </c>
      <c r="R119" s="23" t="s">
        <v>243</v>
      </c>
    </row>
    <row r="120" spans="1:18" ht="187.15">
      <c r="A120" s="14" t="s">
        <v>357</v>
      </c>
      <c r="B120" s="15" t="s">
        <v>235</v>
      </c>
      <c r="C120" s="16" t="s">
        <v>236</v>
      </c>
      <c r="D120" s="24" t="s">
        <v>237</v>
      </c>
      <c r="E120" s="25" t="s">
        <v>238</v>
      </c>
      <c r="F120" s="22" t="s">
        <v>358</v>
      </c>
      <c r="G120" s="21" t="s">
        <v>240</v>
      </c>
      <c r="H120" s="21" t="s">
        <v>241</v>
      </c>
      <c r="I120" s="21" t="s">
        <v>359</v>
      </c>
      <c r="J120" s="22"/>
      <c r="K120" s="22"/>
      <c r="L120" s="22"/>
      <c r="M120" s="22"/>
      <c r="N120" s="22"/>
      <c r="O120" s="4">
        <f t="shared" si="1"/>
        <v>1</v>
      </c>
      <c r="P120" s="5" t="str">
        <f>IFERROR(VLOOKUP(O120,Principles!$B$4:$C$7,2,FALSE()),"")</f>
        <v>Perceivable</v>
      </c>
      <c r="Q120" s="6" t="str">
        <f>IFERROR(VLOOKUP(D120,Principles!$B$12:$D$66,3,FALSE()),"")</f>
        <v>A</v>
      </c>
      <c r="R120" s="23" t="s">
        <v>243</v>
      </c>
    </row>
    <row r="121" spans="1:18" ht="100.9">
      <c r="A121" s="14" t="s">
        <v>360</v>
      </c>
      <c r="B121" s="15" t="s">
        <v>235</v>
      </c>
      <c r="C121" s="16" t="s">
        <v>236</v>
      </c>
      <c r="D121" s="24" t="s">
        <v>237</v>
      </c>
      <c r="E121" s="25" t="s">
        <v>238</v>
      </c>
      <c r="F121" s="22" t="s">
        <v>361</v>
      </c>
      <c r="G121" s="21" t="s">
        <v>240</v>
      </c>
      <c r="H121" s="21" t="s">
        <v>241</v>
      </c>
      <c r="I121" s="21" t="s">
        <v>362</v>
      </c>
      <c r="J121" s="22"/>
      <c r="K121" s="22"/>
      <c r="L121" s="22"/>
      <c r="M121" s="22"/>
      <c r="N121" s="22"/>
      <c r="O121" s="4">
        <f t="shared" si="1"/>
        <v>1</v>
      </c>
      <c r="P121" s="5" t="str">
        <f>IFERROR(VLOOKUP(O121,Principles!$B$4:$C$7,2,FALSE()),"")</f>
        <v>Perceivable</v>
      </c>
      <c r="Q121" s="6" t="str">
        <f>IFERROR(VLOOKUP(D121,Principles!$B$12:$D$66,3,FALSE()),"")</f>
        <v>A</v>
      </c>
      <c r="R121" s="23" t="s">
        <v>243</v>
      </c>
    </row>
    <row r="122" spans="1:18" ht="100.9">
      <c r="A122" s="14" t="s">
        <v>363</v>
      </c>
      <c r="B122" s="15" t="s">
        <v>235</v>
      </c>
      <c r="C122" s="16" t="s">
        <v>236</v>
      </c>
      <c r="D122" s="24" t="s">
        <v>237</v>
      </c>
      <c r="E122" s="25" t="s">
        <v>238</v>
      </c>
      <c r="F122" s="22" t="s">
        <v>364</v>
      </c>
      <c r="G122" s="21" t="s">
        <v>240</v>
      </c>
      <c r="H122" s="21" t="s">
        <v>241</v>
      </c>
      <c r="I122" s="21" t="s">
        <v>365</v>
      </c>
      <c r="J122" s="22"/>
      <c r="K122" s="22"/>
      <c r="L122" s="22"/>
      <c r="M122" s="22"/>
      <c r="N122" s="22"/>
      <c r="O122" s="4">
        <f t="shared" si="1"/>
        <v>1</v>
      </c>
      <c r="P122" s="5" t="str">
        <f>IFERROR(VLOOKUP(O122,Principles!$B$4:$C$7,2,FALSE()),"")</f>
        <v>Perceivable</v>
      </c>
      <c r="Q122" s="6" t="str">
        <f>IFERROR(VLOOKUP(D122,Principles!$B$12:$D$66,3,FALSE()),"")</f>
        <v>A</v>
      </c>
      <c r="R122" s="23" t="s">
        <v>243</v>
      </c>
    </row>
    <row r="123" spans="1:18" ht="201.6">
      <c r="A123" s="14" t="s">
        <v>366</v>
      </c>
      <c r="B123" s="15" t="s">
        <v>235</v>
      </c>
      <c r="C123" s="16" t="s">
        <v>236</v>
      </c>
      <c r="D123" s="24" t="s">
        <v>237</v>
      </c>
      <c r="E123" s="25" t="s">
        <v>238</v>
      </c>
      <c r="F123" s="22" t="s">
        <v>367</v>
      </c>
      <c r="G123" s="21" t="s">
        <v>240</v>
      </c>
      <c r="H123" s="21" t="s">
        <v>241</v>
      </c>
      <c r="I123" s="21" t="s">
        <v>368</v>
      </c>
      <c r="J123" s="22"/>
      <c r="K123" s="22"/>
      <c r="L123" s="22"/>
      <c r="M123" s="22"/>
      <c r="N123" s="22"/>
      <c r="O123" s="4">
        <f t="shared" si="1"/>
        <v>1</v>
      </c>
      <c r="P123" s="5" t="str">
        <f>IFERROR(VLOOKUP(O123,Principles!$B$4:$C$7,2,FALSE()),"")</f>
        <v>Perceivable</v>
      </c>
      <c r="Q123" s="6" t="str">
        <f>IFERROR(VLOOKUP(D123,Principles!$B$12:$D$66,3,FALSE()),"")</f>
        <v>A</v>
      </c>
      <c r="R123" s="23" t="s">
        <v>243</v>
      </c>
    </row>
    <row r="124" spans="1:18" ht="100.9">
      <c r="A124" s="14" t="s">
        <v>369</v>
      </c>
      <c r="B124" s="15" t="s">
        <v>235</v>
      </c>
      <c r="C124" s="16" t="s">
        <v>236</v>
      </c>
      <c r="D124" s="24" t="s">
        <v>237</v>
      </c>
      <c r="E124" s="25" t="s">
        <v>238</v>
      </c>
      <c r="F124" s="22" t="s">
        <v>370</v>
      </c>
      <c r="G124" s="21" t="s">
        <v>240</v>
      </c>
      <c r="H124" s="21" t="s">
        <v>241</v>
      </c>
      <c r="I124" s="21" t="s">
        <v>371</v>
      </c>
      <c r="J124" s="22"/>
      <c r="K124" s="22"/>
      <c r="L124" s="22"/>
      <c r="M124" s="22"/>
      <c r="N124" s="22"/>
      <c r="O124" s="4">
        <f t="shared" si="1"/>
        <v>1</v>
      </c>
      <c r="P124" s="5" t="str">
        <f>IFERROR(VLOOKUP(O124,Principles!$B$4:$C$7,2,FALSE()),"")</f>
        <v>Perceivable</v>
      </c>
      <c r="Q124" s="6" t="str">
        <f>IFERROR(VLOOKUP(D124,Principles!$B$12:$D$66,3,FALSE()),"")</f>
        <v>A</v>
      </c>
      <c r="R124" s="23" t="s">
        <v>243</v>
      </c>
    </row>
    <row r="125" spans="1:18" ht="172.9">
      <c r="A125" s="14" t="s">
        <v>372</v>
      </c>
      <c r="B125" s="15" t="s">
        <v>235</v>
      </c>
      <c r="C125" s="16" t="s">
        <v>236</v>
      </c>
      <c r="D125" s="24" t="s">
        <v>237</v>
      </c>
      <c r="E125" s="25" t="s">
        <v>238</v>
      </c>
      <c r="F125" s="22" t="s">
        <v>373</v>
      </c>
      <c r="G125" s="21" t="s">
        <v>240</v>
      </c>
      <c r="H125" s="21" t="s">
        <v>241</v>
      </c>
      <c r="I125" s="21" t="s">
        <v>374</v>
      </c>
      <c r="J125" s="22"/>
      <c r="K125" s="22"/>
      <c r="L125" s="22"/>
      <c r="M125" s="22"/>
      <c r="N125" s="22"/>
      <c r="O125" s="4">
        <f t="shared" si="1"/>
        <v>1</v>
      </c>
      <c r="P125" s="5" t="str">
        <f>IFERROR(VLOOKUP(O125,Principles!$B$4:$C$7,2,FALSE()),"")</f>
        <v>Perceivable</v>
      </c>
      <c r="Q125" s="6" t="str">
        <f>IFERROR(VLOOKUP(D125,Principles!$B$12:$D$66,3,FALSE()),"")</f>
        <v>A</v>
      </c>
      <c r="R125" s="23" t="s">
        <v>243</v>
      </c>
    </row>
    <row r="126" spans="1:18" ht="100.9">
      <c r="A126" s="14" t="s">
        <v>375</v>
      </c>
      <c r="B126" s="15" t="s">
        <v>235</v>
      </c>
      <c r="C126" s="16" t="s">
        <v>236</v>
      </c>
      <c r="D126" s="24" t="s">
        <v>376</v>
      </c>
      <c r="E126" s="25" t="s">
        <v>377</v>
      </c>
      <c r="F126" s="22" t="s">
        <v>378</v>
      </c>
      <c r="G126" s="21" t="s">
        <v>240</v>
      </c>
      <c r="H126" s="21" t="s">
        <v>379</v>
      </c>
      <c r="I126" s="21" t="s">
        <v>380</v>
      </c>
      <c r="J126" s="22"/>
      <c r="K126" s="22"/>
      <c r="L126" s="22"/>
      <c r="M126" s="22"/>
      <c r="N126" s="22"/>
      <c r="O126" s="4">
        <f t="shared" si="1"/>
        <v>1</v>
      </c>
      <c r="P126" s="5" t="str">
        <f>IFERROR(VLOOKUP(O126,Principles!$B$4:$C$7,2,FALSE()),"")</f>
        <v>Perceivable</v>
      </c>
      <c r="Q126" s="6" t="str">
        <f>IFERROR(VLOOKUP(D126,Principles!$B$12:$D$66,3,FALSE()),"")</f>
        <v>A</v>
      </c>
      <c r="R126" s="23" t="s">
        <v>381</v>
      </c>
    </row>
    <row r="127" spans="1:18" ht="187.15">
      <c r="A127" s="14" t="s">
        <v>382</v>
      </c>
      <c r="B127" s="15" t="s">
        <v>235</v>
      </c>
      <c r="C127" s="16" t="s">
        <v>236</v>
      </c>
      <c r="D127" s="24" t="s">
        <v>376</v>
      </c>
      <c r="E127" s="25" t="s">
        <v>377</v>
      </c>
      <c r="F127" s="22" t="s">
        <v>383</v>
      </c>
      <c r="G127" s="21" t="s">
        <v>240</v>
      </c>
      <c r="H127" s="21" t="s">
        <v>379</v>
      </c>
      <c r="I127" s="21" t="s">
        <v>384</v>
      </c>
      <c r="J127" s="22"/>
      <c r="K127" s="22"/>
      <c r="L127" s="22"/>
      <c r="M127" s="22"/>
      <c r="N127" s="22"/>
      <c r="O127" s="4">
        <f t="shared" si="1"/>
        <v>1</v>
      </c>
      <c r="P127" s="5" t="str">
        <f>IFERROR(VLOOKUP(O127,Principles!$B$4:$C$7,2,FALSE()),"")</f>
        <v>Perceivable</v>
      </c>
      <c r="Q127" s="6" t="str">
        <f>IFERROR(VLOOKUP(D127,Principles!$B$12:$D$66,3,FALSE()),"")</f>
        <v>A</v>
      </c>
      <c r="R127" s="23" t="s">
        <v>381</v>
      </c>
    </row>
    <row r="128" spans="1:18" ht="144">
      <c r="A128" s="14" t="s">
        <v>385</v>
      </c>
      <c r="B128" s="15" t="s">
        <v>235</v>
      </c>
      <c r="C128" s="16" t="s">
        <v>236</v>
      </c>
      <c r="D128" s="24" t="s">
        <v>376</v>
      </c>
      <c r="E128" s="25" t="s">
        <v>377</v>
      </c>
      <c r="F128" s="22" t="s">
        <v>386</v>
      </c>
      <c r="G128" s="21" t="s">
        <v>240</v>
      </c>
      <c r="H128" s="21" t="s">
        <v>379</v>
      </c>
      <c r="I128" s="21" t="s">
        <v>387</v>
      </c>
      <c r="J128" s="22"/>
      <c r="K128" s="22"/>
      <c r="L128" s="22"/>
      <c r="M128" s="22"/>
      <c r="N128" s="22"/>
      <c r="O128" s="4">
        <f t="shared" si="1"/>
        <v>1</v>
      </c>
      <c r="P128" s="5" t="str">
        <f>IFERROR(VLOOKUP(O128,Principles!$B$4:$C$7,2,FALSE()),"")</f>
        <v>Perceivable</v>
      </c>
      <c r="Q128" s="6" t="str">
        <f>IFERROR(VLOOKUP(D128,Principles!$B$12:$D$66,3,FALSE()),"")</f>
        <v>A</v>
      </c>
      <c r="R128" s="23" t="s">
        <v>381</v>
      </c>
    </row>
    <row r="129" spans="1:18" ht="115.15">
      <c r="A129" s="14" t="s">
        <v>388</v>
      </c>
      <c r="B129" s="15" t="s">
        <v>235</v>
      </c>
      <c r="C129" s="16" t="s">
        <v>236</v>
      </c>
      <c r="D129" s="24" t="s">
        <v>376</v>
      </c>
      <c r="E129" s="25" t="s">
        <v>377</v>
      </c>
      <c r="F129" s="22" t="s">
        <v>389</v>
      </c>
      <c r="G129" s="21" t="s">
        <v>240</v>
      </c>
      <c r="H129" s="21" t="s">
        <v>379</v>
      </c>
      <c r="I129" s="21" t="s">
        <v>390</v>
      </c>
      <c r="J129" s="22"/>
      <c r="K129" s="22"/>
      <c r="L129" s="22"/>
      <c r="M129" s="22"/>
      <c r="N129" s="22"/>
      <c r="O129" s="4">
        <f t="shared" si="1"/>
        <v>1</v>
      </c>
      <c r="P129" s="5" t="str">
        <f>IFERROR(VLOOKUP(O129,Principles!$B$4:$C$7,2,FALSE()),"")</f>
        <v>Perceivable</v>
      </c>
      <c r="Q129" s="6" t="str">
        <f>IFERROR(VLOOKUP(D129,Principles!$B$12:$D$66,3,FALSE()),"")</f>
        <v>A</v>
      </c>
      <c r="R129" s="23" t="s">
        <v>381</v>
      </c>
    </row>
    <row r="130" spans="1:18" ht="100.9">
      <c r="A130" s="14" t="s">
        <v>391</v>
      </c>
      <c r="B130" s="15" t="s">
        <v>235</v>
      </c>
      <c r="C130" s="16" t="s">
        <v>236</v>
      </c>
      <c r="D130" s="24" t="s">
        <v>376</v>
      </c>
      <c r="E130" s="25" t="s">
        <v>377</v>
      </c>
      <c r="F130" s="22" t="s">
        <v>392</v>
      </c>
      <c r="G130" s="21" t="s">
        <v>240</v>
      </c>
      <c r="H130" s="21" t="s">
        <v>379</v>
      </c>
      <c r="I130" s="21" t="s">
        <v>393</v>
      </c>
      <c r="J130" s="22"/>
      <c r="K130" s="22"/>
      <c r="L130" s="22"/>
      <c r="M130" s="22"/>
      <c r="N130" s="22"/>
      <c r="O130" s="4">
        <f t="shared" ref="O130:O193" si="2">IFERROR(VALUE(LEFT(D130,FIND(".",D130)-1)),"")</f>
        <v>1</v>
      </c>
      <c r="P130" s="5" t="str">
        <f>IFERROR(VLOOKUP(O130,Principles!$B$4:$C$7,2,FALSE()),"")</f>
        <v>Perceivable</v>
      </c>
      <c r="Q130" s="6" t="str">
        <f>IFERROR(VLOOKUP(D130,Principles!$B$12:$D$66,3,FALSE()),"")</f>
        <v>A</v>
      </c>
      <c r="R130" s="23" t="s">
        <v>381</v>
      </c>
    </row>
    <row r="131" spans="1:18" ht="86.45">
      <c r="A131" s="14" t="s">
        <v>394</v>
      </c>
      <c r="B131" s="15" t="s">
        <v>235</v>
      </c>
      <c r="C131" s="16" t="s">
        <v>236</v>
      </c>
      <c r="D131" s="24" t="s">
        <v>376</v>
      </c>
      <c r="E131" s="25" t="s">
        <v>377</v>
      </c>
      <c r="F131" s="22" t="s">
        <v>395</v>
      </c>
      <c r="G131" s="21" t="s">
        <v>240</v>
      </c>
      <c r="H131" s="21" t="s">
        <v>379</v>
      </c>
      <c r="I131" s="21" t="s">
        <v>396</v>
      </c>
      <c r="J131" s="22"/>
      <c r="K131" s="22"/>
      <c r="L131" s="22"/>
      <c r="M131" s="22"/>
      <c r="N131" s="22"/>
      <c r="O131" s="4">
        <f t="shared" si="2"/>
        <v>1</v>
      </c>
      <c r="P131" s="5" t="str">
        <f>IFERROR(VLOOKUP(O131,Principles!$B$4:$C$7,2,FALSE()),"")</f>
        <v>Perceivable</v>
      </c>
      <c r="Q131" s="6" t="str">
        <f>IFERROR(VLOOKUP(D131,Principles!$B$12:$D$66,3,FALSE()),"")</f>
        <v>A</v>
      </c>
      <c r="R131" s="23" t="s">
        <v>381</v>
      </c>
    </row>
    <row r="132" spans="1:18" ht="100.9">
      <c r="A132" s="14" t="s">
        <v>397</v>
      </c>
      <c r="B132" s="15" t="s">
        <v>235</v>
      </c>
      <c r="C132" s="16" t="s">
        <v>236</v>
      </c>
      <c r="D132" s="24" t="s">
        <v>376</v>
      </c>
      <c r="E132" s="25" t="s">
        <v>377</v>
      </c>
      <c r="F132" s="22" t="s">
        <v>398</v>
      </c>
      <c r="G132" s="21" t="s">
        <v>240</v>
      </c>
      <c r="H132" s="21" t="s">
        <v>379</v>
      </c>
      <c r="I132" s="21" t="s">
        <v>399</v>
      </c>
      <c r="J132" s="22"/>
      <c r="K132" s="22"/>
      <c r="L132" s="22"/>
      <c r="M132" s="22"/>
      <c r="N132" s="22"/>
      <c r="O132" s="4">
        <f t="shared" si="2"/>
        <v>1</v>
      </c>
      <c r="P132" s="5" t="str">
        <f>IFERROR(VLOOKUP(O132,Principles!$B$4:$C$7,2,FALSE()),"")</f>
        <v>Perceivable</v>
      </c>
      <c r="Q132" s="6" t="str">
        <f>IFERROR(VLOOKUP(D132,Principles!$B$12:$D$66,3,FALSE()),"")</f>
        <v>A</v>
      </c>
      <c r="R132" s="23" t="s">
        <v>381</v>
      </c>
    </row>
    <row r="133" spans="1:18" ht="100.9">
      <c r="A133" s="14" t="s">
        <v>348</v>
      </c>
      <c r="B133" s="15" t="s">
        <v>235</v>
      </c>
      <c r="C133" s="16" t="s">
        <v>236</v>
      </c>
      <c r="D133" s="24" t="s">
        <v>376</v>
      </c>
      <c r="E133" s="25" t="s">
        <v>377</v>
      </c>
      <c r="F133" s="22" t="s">
        <v>349</v>
      </c>
      <c r="G133" s="21" t="s">
        <v>240</v>
      </c>
      <c r="H133" s="21" t="s">
        <v>379</v>
      </c>
      <c r="I133" s="21" t="s">
        <v>350</v>
      </c>
      <c r="J133" s="22"/>
      <c r="K133" s="22"/>
      <c r="L133" s="22"/>
      <c r="M133" s="22"/>
      <c r="N133" s="22"/>
      <c r="O133" s="4">
        <f t="shared" si="2"/>
        <v>1</v>
      </c>
      <c r="P133" s="5" t="str">
        <f>IFERROR(VLOOKUP(O133,Principles!$B$4:$C$7,2,FALSE()),"")</f>
        <v>Perceivable</v>
      </c>
      <c r="Q133" s="6" t="str">
        <f>IFERROR(VLOOKUP(D133,Principles!$B$12:$D$66,3,FALSE()),"")</f>
        <v>A</v>
      </c>
      <c r="R133" s="23" t="s">
        <v>381</v>
      </c>
    </row>
    <row r="134" spans="1:18" ht="115.15">
      <c r="A134" s="14" t="s">
        <v>345</v>
      </c>
      <c r="B134" s="15" t="s">
        <v>235</v>
      </c>
      <c r="C134" s="16" t="s">
        <v>236</v>
      </c>
      <c r="D134" s="24" t="s">
        <v>376</v>
      </c>
      <c r="E134" s="25" t="s">
        <v>377</v>
      </c>
      <c r="F134" s="22" t="s">
        <v>346</v>
      </c>
      <c r="G134" s="21" t="s">
        <v>240</v>
      </c>
      <c r="H134" s="21" t="s">
        <v>379</v>
      </c>
      <c r="I134" s="21" t="s">
        <v>347</v>
      </c>
      <c r="J134" s="22"/>
      <c r="K134" s="22"/>
      <c r="L134" s="22"/>
      <c r="M134" s="22"/>
      <c r="N134" s="22"/>
      <c r="O134" s="4">
        <f t="shared" si="2"/>
        <v>1</v>
      </c>
      <c r="P134" s="5" t="str">
        <f>IFERROR(VLOOKUP(O134,Principles!$B$4:$C$7,2,FALSE()),"")</f>
        <v>Perceivable</v>
      </c>
      <c r="Q134" s="6" t="str">
        <f>IFERROR(VLOOKUP(D134,Principles!$B$12:$D$66,3,FALSE()),"")</f>
        <v>A</v>
      </c>
      <c r="R134" s="23" t="s">
        <v>381</v>
      </c>
    </row>
    <row r="135" spans="1:18" ht="115.15">
      <c r="A135" s="14" t="s">
        <v>400</v>
      </c>
      <c r="B135" s="15" t="s">
        <v>235</v>
      </c>
      <c r="C135" s="16" t="s">
        <v>236</v>
      </c>
      <c r="D135" s="24" t="s">
        <v>376</v>
      </c>
      <c r="E135" s="25" t="s">
        <v>377</v>
      </c>
      <c r="F135" s="22" t="s">
        <v>401</v>
      </c>
      <c r="G135" s="21" t="s">
        <v>240</v>
      </c>
      <c r="H135" s="21" t="s">
        <v>379</v>
      </c>
      <c r="I135" s="21" t="s">
        <v>402</v>
      </c>
      <c r="J135" s="22"/>
      <c r="K135" s="22"/>
      <c r="L135" s="22"/>
      <c r="M135" s="22"/>
      <c r="N135" s="22"/>
      <c r="O135" s="4">
        <f t="shared" si="2"/>
        <v>1</v>
      </c>
      <c r="P135" s="5" t="str">
        <f>IFERROR(VLOOKUP(O135,Principles!$B$4:$C$7,2,FALSE()),"")</f>
        <v>Perceivable</v>
      </c>
      <c r="Q135" s="6" t="str">
        <f>IFERROR(VLOOKUP(D135,Principles!$B$12:$D$66,3,FALSE()),"")</f>
        <v>A</v>
      </c>
      <c r="R135" s="23" t="s">
        <v>381</v>
      </c>
    </row>
    <row r="136" spans="1:18" ht="129.6">
      <c r="A136" s="14" t="s">
        <v>403</v>
      </c>
      <c r="B136" s="15" t="s">
        <v>235</v>
      </c>
      <c r="C136" s="16" t="s">
        <v>236</v>
      </c>
      <c r="D136" s="24" t="s">
        <v>376</v>
      </c>
      <c r="E136" s="25" t="s">
        <v>377</v>
      </c>
      <c r="F136" s="22" t="s">
        <v>404</v>
      </c>
      <c r="G136" s="21" t="s">
        <v>240</v>
      </c>
      <c r="H136" s="21" t="s">
        <v>379</v>
      </c>
      <c r="I136" s="21" t="s">
        <v>405</v>
      </c>
      <c r="J136" s="22"/>
      <c r="K136" s="22"/>
      <c r="L136" s="22"/>
      <c r="M136" s="22"/>
      <c r="N136" s="22"/>
      <c r="O136" s="4">
        <f t="shared" si="2"/>
        <v>1</v>
      </c>
      <c r="P136" s="5" t="str">
        <f>IFERROR(VLOOKUP(O136,Principles!$B$4:$C$7,2,FALSE()),"")</f>
        <v>Perceivable</v>
      </c>
      <c r="Q136" s="6" t="str">
        <f>IFERROR(VLOOKUP(D136,Principles!$B$12:$D$66,3,FALSE()),"")</f>
        <v>A</v>
      </c>
      <c r="R136" s="23" t="s">
        <v>381</v>
      </c>
    </row>
    <row r="137" spans="1:18" ht="244.9">
      <c r="A137" s="14" t="s">
        <v>406</v>
      </c>
      <c r="B137" s="15" t="s">
        <v>235</v>
      </c>
      <c r="C137" s="16" t="s">
        <v>236</v>
      </c>
      <c r="D137" s="24" t="s">
        <v>376</v>
      </c>
      <c r="E137" s="25" t="s">
        <v>377</v>
      </c>
      <c r="F137" s="22" t="s">
        <v>407</v>
      </c>
      <c r="G137" s="21" t="s">
        <v>240</v>
      </c>
      <c r="H137" s="21" t="s">
        <v>379</v>
      </c>
      <c r="I137" s="21" t="s">
        <v>408</v>
      </c>
      <c r="J137" s="22"/>
      <c r="K137" s="22"/>
      <c r="L137" s="22"/>
      <c r="M137" s="22"/>
      <c r="N137" s="22"/>
      <c r="O137" s="4">
        <f t="shared" si="2"/>
        <v>1</v>
      </c>
      <c r="P137" s="5" t="str">
        <f>IFERROR(VLOOKUP(O137,Principles!$B$4:$C$7,2,FALSE()),"")</f>
        <v>Perceivable</v>
      </c>
      <c r="Q137" s="6" t="str">
        <f>IFERROR(VLOOKUP(D137,Principles!$B$12:$D$66,3,FALSE()),"")</f>
        <v>A</v>
      </c>
      <c r="R137" s="23" t="s">
        <v>381</v>
      </c>
    </row>
    <row r="138" spans="1:18" ht="129.6">
      <c r="A138" s="14" t="s">
        <v>409</v>
      </c>
      <c r="B138" s="15" t="s">
        <v>235</v>
      </c>
      <c r="C138" s="16" t="s">
        <v>236</v>
      </c>
      <c r="D138" s="24" t="s">
        <v>410</v>
      </c>
      <c r="E138" s="25" t="s">
        <v>411</v>
      </c>
      <c r="F138" s="22" t="s">
        <v>412</v>
      </c>
      <c r="G138" s="21" t="s">
        <v>240</v>
      </c>
      <c r="H138" s="21" t="s">
        <v>413</v>
      </c>
      <c r="I138" s="21" t="s">
        <v>414</v>
      </c>
      <c r="J138" s="22"/>
      <c r="K138" s="22"/>
      <c r="L138" s="22"/>
      <c r="M138" s="22"/>
      <c r="N138" s="22"/>
      <c r="O138" s="4">
        <f t="shared" si="2"/>
        <v>1</v>
      </c>
      <c r="P138" s="5" t="str">
        <f>IFERROR(VLOOKUP(O138,Principles!$B$4:$C$7,2,FALSE()),"")</f>
        <v>Perceivable</v>
      </c>
      <c r="Q138" s="6" t="str">
        <f>IFERROR(VLOOKUP(D138,Principles!$B$12:$D$66,3,FALSE()),"")</f>
        <v>A</v>
      </c>
      <c r="R138" s="23" t="s">
        <v>415</v>
      </c>
    </row>
    <row r="139" spans="1:18" ht="115.15">
      <c r="A139" s="14" t="s">
        <v>416</v>
      </c>
      <c r="B139" s="15" t="s">
        <v>235</v>
      </c>
      <c r="C139" s="16" t="s">
        <v>236</v>
      </c>
      <c r="D139" s="24" t="s">
        <v>410</v>
      </c>
      <c r="E139" s="25" t="s">
        <v>411</v>
      </c>
      <c r="F139" s="22" t="s">
        <v>417</v>
      </c>
      <c r="G139" s="21" t="s">
        <v>240</v>
      </c>
      <c r="H139" s="21" t="s">
        <v>413</v>
      </c>
      <c r="I139" s="21" t="s">
        <v>418</v>
      </c>
      <c r="J139" s="22"/>
      <c r="K139" s="22"/>
      <c r="L139" s="22"/>
      <c r="M139" s="22"/>
      <c r="N139" s="22"/>
      <c r="O139" s="4">
        <f t="shared" si="2"/>
        <v>1</v>
      </c>
      <c r="P139" s="5" t="str">
        <f>IFERROR(VLOOKUP(O139,Principles!$B$4:$C$7,2,FALSE()),"")</f>
        <v>Perceivable</v>
      </c>
      <c r="Q139" s="6" t="str">
        <f>IFERROR(VLOOKUP(D139,Principles!$B$12:$D$66,3,FALSE()),"")</f>
        <v>A</v>
      </c>
      <c r="R139" s="23" t="s">
        <v>415</v>
      </c>
    </row>
    <row r="140" spans="1:18" ht="115.15">
      <c r="A140" s="14" t="s">
        <v>419</v>
      </c>
      <c r="B140" s="15" t="s">
        <v>235</v>
      </c>
      <c r="C140" s="16" t="s">
        <v>236</v>
      </c>
      <c r="D140" s="24" t="s">
        <v>410</v>
      </c>
      <c r="E140" s="25" t="s">
        <v>411</v>
      </c>
      <c r="F140" s="22" t="s">
        <v>420</v>
      </c>
      <c r="G140" s="21" t="s">
        <v>240</v>
      </c>
      <c r="H140" s="21" t="s">
        <v>413</v>
      </c>
      <c r="I140" s="21" t="s">
        <v>421</v>
      </c>
      <c r="J140" s="22"/>
      <c r="K140" s="22"/>
      <c r="L140" s="22"/>
      <c r="M140" s="22"/>
      <c r="N140" s="22"/>
      <c r="O140" s="4">
        <f t="shared" si="2"/>
        <v>1</v>
      </c>
      <c r="P140" s="5" t="str">
        <f>IFERROR(VLOOKUP(O140,Principles!$B$4:$C$7,2,FALSE()),"")</f>
        <v>Perceivable</v>
      </c>
      <c r="Q140" s="6" t="str">
        <f>IFERROR(VLOOKUP(D140,Principles!$B$12:$D$66,3,FALSE()),"")</f>
        <v>A</v>
      </c>
      <c r="R140" s="23" t="s">
        <v>415</v>
      </c>
    </row>
    <row r="141" spans="1:18" ht="144">
      <c r="A141" s="14" t="s">
        <v>422</v>
      </c>
      <c r="B141" s="15" t="s">
        <v>235</v>
      </c>
      <c r="C141" s="16" t="s">
        <v>236</v>
      </c>
      <c r="D141" s="24" t="s">
        <v>423</v>
      </c>
      <c r="E141" s="25" t="s">
        <v>424</v>
      </c>
      <c r="F141" s="22" t="s">
        <v>425</v>
      </c>
      <c r="G141" s="21" t="s">
        <v>240</v>
      </c>
      <c r="H141" s="21" t="s">
        <v>426</v>
      </c>
      <c r="I141" s="21" t="s">
        <v>427</v>
      </c>
      <c r="J141" s="22"/>
      <c r="K141" s="22"/>
      <c r="L141" s="22"/>
      <c r="M141" s="22"/>
      <c r="N141" s="22"/>
      <c r="O141" s="4">
        <f t="shared" si="2"/>
        <v>1</v>
      </c>
      <c r="P141" s="5" t="str">
        <f>IFERROR(VLOOKUP(O141,Principles!$B$4:$C$7,2,FALSE()),"")</f>
        <v>Perceivable</v>
      </c>
      <c r="Q141" s="6" t="str">
        <f>IFERROR(VLOOKUP(D141,Principles!$B$12:$D$66,3,FALSE()),"")</f>
        <v>AA</v>
      </c>
      <c r="R141" s="23" t="s">
        <v>428</v>
      </c>
    </row>
    <row r="142" spans="1:18" ht="172.9">
      <c r="A142" s="14" t="s">
        <v>429</v>
      </c>
      <c r="B142" s="15" t="s">
        <v>235</v>
      </c>
      <c r="C142" s="16" t="s">
        <v>236</v>
      </c>
      <c r="D142" s="24" t="s">
        <v>423</v>
      </c>
      <c r="E142" s="25" t="s">
        <v>424</v>
      </c>
      <c r="F142" s="22" t="s">
        <v>430</v>
      </c>
      <c r="G142" s="21" t="s">
        <v>240</v>
      </c>
      <c r="H142" s="21" t="s">
        <v>426</v>
      </c>
      <c r="I142" s="21" t="s">
        <v>431</v>
      </c>
      <c r="J142" s="22"/>
      <c r="K142" s="22"/>
      <c r="L142" s="22"/>
      <c r="M142" s="22"/>
      <c r="N142" s="22"/>
      <c r="O142" s="4">
        <f t="shared" si="2"/>
        <v>1</v>
      </c>
      <c r="P142" s="5" t="str">
        <f>IFERROR(VLOOKUP(O142,Principles!$B$4:$C$7,2,FALSE()),"")</f>
        <v>Perceivable</v>
      </c>
      <c r="Q142" s="6" t="str">
        <f>IFERROR(VLOOKUP(D142,Principles!$B$12:$D$66,3,FALSE()),"")</f>
        <v>AA</v>
      </c>
      <c r="R142" s="23" t="s">
        <v>428</v>
      </c>
    </row>
    <row r="143" spans="1:18" ht="144">
      <c r="A143" s="14" t="s">
        <v>432</v>
      </c>
      <c r="B143" s="15" t="s">
        <v>235</v>
      </c>
      <c r="C143" s="16" t="s">
        <v>236</v>
      </c>
      <c r="D143" s="24" t="s">
        <v>423</v>
      </c>
      <c r="E143" s="25" t="s">
        <v>424</v>
      </c>
      <c r="F143" s="22" t="s">
        <v>433</v>
      </c>
      <c r="G143" s="21" t="s">
        <v>240</v>
      </c>
      <c r="H143" s="21" t="s">
        <v>426</v>
      </c>
      <c r="I143" s="21" t="s">
        <v>434</v>
      </c>
      <c r="J143" s="22"/>
      <c r="K143" s="22"/>
      <c r="L143" s="22"/>
      <c r="M143" s="22"/>
      <c r="N143" s="22"/>
      <c r="O143" s="4">
        <f t="shared" si="2"/>
        <v>1</v>
      </c>
      <c r="P143" s="5" t="str">
        <f>IFERROR(VLOOKUP(O143,Principles!$B$4:$C$7,2,FALSE()),"")</f>
        <v>Perceivable</v>
      </c>
      <c r="Q143" s="6" t="str">
        <f>IFERROR(VLOOKUP(D143,Principles!$B$12:$D$66,3,FALSE()),"")</f>
        <v>AA</v>
      </c>
      <c r="R143" s="23" t="s">
        <v>428</v>
      </c>
    </row>
    <row r="144" spans="1:18" ht="158.44999999999999">
      <c r="A144" s="14" t="s">
        <v>435</v>
      </c>
      <c r="B144" s="15" t="s">
        <v>235</v>
      </c>
      <c r="C144" s="16" t="s">
        <v>236</v>
      </c>
      <c r="D144" s="24" t="s">
        <v>436</v>
      </c>
      <c r="E144" s="25" t="s">
        <v>437</v>
      </c>
      <c r="F144" s="22" t="s">
        <v>438</v>
      </c>
      <c r="G144" s="21" t="s">
        <v>240</v>
      </c>
      <c r="H144" s="21" t="s">
        <v>439</v>
      </c>
      <c r="I144" s="21" t="s">
        <v>440</v>
      </c>
      <c r="J144" s="22"/>
      <c r="K144" s="22"/>
      <c r="L144" s="22"/>
      <c r="M144" s="22"/>
      <c r="N144" s="22"/>
      <c r="O144" s="4">
        <f t="shared" si="2"/>
        <v>1</v>
      </c>
      <c r="P144" s="5" t="str">
        <f>IFERROR(VLOOKUP(O144,Principles!$B$4:$C$7,2,FALSE()),"")</f>
        <v>Perceivable</v>
      </c>
      <c r="Q144" s="6" t="str">
        <f>IFERROR(VLOOKUP(D144,Principles!$B$12:$D$66,3,FALSE()),"")</f>
        <v>AA</v>
      </c>
      <c r="R144" s="23" t="s">
        <v>441</v>
      </c>
    </row>
    <row r="145" spans="1:19" ht="144">
      <c r="A145" s="14" t="s">
        <v>442</v>
      </c>
      <c r="B145" s="15" t="s">
        <v>235</v>
      </c>
      <c r="C145" s="16" t="s">
        <v>236</v>
      </c>
      <c r="D145" s="24" t="s">
        <v>436</v>
      </c>
      <c r="E145" s="25" t="s">
        <v>437</v>
      </c>
      <c r="F145" s="22" t="s">
        <v>443</v>
      </c>
      <c r="G145" s="21" t="s">
        <v>240</v>
      </c>
      <c r="H145" s="21" t="s">
        <v>439</v>
      </c>
      <c r="I145" s="21" t="s">
        <v>444</v>
      </c>
      <c r="J145" s="22"/>
      <c r="K145" s="22"/>
      <c r="L145" s="22"/>
      <c r="M145" s="22"/>
      <c r="N145" s="22"/>
      <c r="O145" s="4">
        <f t="shared" si="2"/>
        <v>1</v>
      </c>
      <c r="P145" s="5" t="str">
        <f>IFERROR(VLOOKUP(O145,Principles!$B$4:$C$7,2,FALSE()),"")</f>
        <v>Perceivable</v>
      </c>
      <c r="Q145" s="6" t="str">
        <f>IFERROR(VLOOKUP(D145,Principles!$B$12:$D$66,3,FALSE()),"")</f>
        <v>AA</v>
      </c>
      <c r="R145" s="23" t="s">
        <v>441</v>
      </c>
    </row>
    <row r="146" spans="1:19" ht="129.6">
      <c r="A146" s="14" t="s">
        <v>445</v>
      </c>
      <c r="B146" s="15" t="s">
        <v>446</v>
      </c>
      <c r="C146" s="16" t="s">
        <v>447</v>
      </c>
      <c r="D146" s="24" t="s">
        <v>448</v>
      </c>
      <c r="E146" s="25" t="s">
        <v>449</v>
      </c>
      <c r="F146" s="22" t="s">
        <v>450</v>
      </c>
      <c r="G146" s="21" t="s">
        <v>451</v>
      </c>
      <c r="H146" s="21" t="s">
        <v>452</v>
      </c>
      <c r="I146" s="21" t="s">
        <v>453</v>
      </c>
      <c r="J146" s="22"/>
      <c r="K146" s="22"/>
      <c r="L146" s="22"/>
      <c r="M146" s="22"/>
      <c r="N146" s="22"/>
      <c r="O146" s="4">
        <f t="shared" si="2"/>
        <v>1</v>
      </c>
      <c r="P146" s="5" t="str">
        <f>IFERROR(VLOOKUP(O146,Principles!$B$4:$C$7,2,FALSE()),"")</f>
        <v>Perceivable</v>
      </c>
      <c r="Q146" s="6" t="str">
        <f>IFERROR(VLOOKUP(D146,Principles!$B$12:$D$66,3,FALSE()),"")</f>
        <v>A</v>
      </c>
      <c r="R146" s="23" t="s">
        <v>454</v>
      </c>
    </row>
    <row r="147" spans="1:19" ht="115.15">
      <c r="A147" s="14" t="s">
        <v>455</v>
      </c>
      <c r="B147" s="15" t="s">
        <v>446</v>
      </c>
      <c r="C147" s="16" t="s">
        <v>447</v>
      </c>
      <c r="D147" s="24" t="s">
        <v>448</v>
      </c>
      <c r="E147" s="25" t="s">
        <v>449</v>
      </c>
      <c r="F147" s="22" t="s">
        <v>456</v>
      </c>
      <c r="G147" s="21" t="s">
        <v>451</v>
      </c>
      <c r="H147" s="21" t="s">
        <v>452</v>
      </c>
      <c r="I147" s="21" t="s">
        <v>457</v>
      </c>
      <c r="J147" s="22"/>
      <c r="K147" s="22"/>
      <c r="L147" s="22"/>
      <c r="M147" s="22"/>
      <c r="N147" s="22"/>
      <c r="O147" s="4">
        <f t="shared" si="2"/>
        <v>1</v>
      </c>
      <c r="P147" s="5" t="str">
        <f>IFERROR(VLOOKUP(O147,Principles!$B$4:$C$7,2,FALSE()),"")</f>
        <v>Perceivable</v>
      </c>
      <c r="Q147" s="6" t="str">
        <f>IFERROR(VLOOKUP(D147,Principles!$B$12:$D$66,3,FALSE()),"")</f>
        <v>A</v>
      </c>
      <c r="R147" s="23" t="s">
        <v>454</v>
      </c>
    </row>
    <row r="148" spans="1:19" ht="129.6">
      <c r="A148" s="14" t="s">
        <v>458</v>
      </c>
      <c r="B148" s="15" t="s">
        <v>446</v>
      </c>
      <c r="C148" s="16" t="s">
        <v>447</v>
      </c>
      <c r="D148" s="24" t="s">
        <v>448</v>
      </c>
      <c r="E148" s="25" t="s">
        <v>449</v>
      </c>
      <c r="F148" s="22" t="s">
        <v>459</v>
      </c>
      <c r="G148" s="21" t="s">
        <v>451</v>
      </c>
      <c r="H148" s="21" t="s">
        <v>452</v>
      </c>
      <c r="I148" s="21" t="s">
        <v>460</v>
      </c>
      <c r="J148" s="22"/>
      <c r="K148" s="22"/>
      <c r="L148" s="22"/>
      <c r="M148" s="22"/>
      <c r="N148" s="22"/>
      <c r="O148" s="4">
        <f t="shared" si="2"/>
        <v>1</v>
      </c>
      <c r="P148" s="5" t="str">
        <f>IFERROR(VLOOKUP(O148,Principles!$B$4:$C$7,2,FALSE()),"")</f>
        <v>Perceivable</v>
      </c>
      <c r="Q148" s="6" t="str">
        <f>IFERROR(VLOOKUP(D148,Principles!$B$12:$D$66,3,FALSE()),"")</f>
        <v>A</v>
      </c>
      <c r="R148" s="23" t="s">
        <v>454</v>
      </c>
    </row>
    <row r="149" spans="1:19" ht="187.15">
      <c r="A149" s="14" t="s">
        <v>461</v>
      </c>
      <c r="B149" s="15" t="s">
        <v>446</v>
      </c>
      <c r="C149" s="16" t="s">
        <v>447</v>
      </c>
      <c r="D149" s="24" t="s">
        <v>448</v>
      </c>
      <c r="E149" s="25" t="s">
        <v>449</v>
      </c>
      <c r="F149" s="22" t="s">
        <v>462</v>
      </c>
      <c r="G149" s="21" t="s">
        <v>451</v>
      </c>
      <c r="H149" s="21" t="s">
        <v>452</v>
      </c>
      <c r="I149" s="21" t="s">
        <v>463</v>
      </c>
      <c r="J149" s="22"/>
      <c r="K149" s="22"/>
      <c r="L149" s="22"/>
      <c r="M149" s="22"/>
      <c r="N149" s="22"/>
      <c r="O149" s="4">
        <f t="shared" si="2"/>
        <v>1</v>
      </c>
      <c r="P149" s="5" t="str">
        <f>IFERROR(VLOOKUP(O149,Principles!$B$4:$C$7,2,FALSE()),"")</f>
        <v>Perceivable</v>
      </c>
      <c r="Q149" s="6" t="str">
        <f>IFERROR(VLOOKUP(D149,Principles!$B$12:$D$66,3,FALSE()),"")</f>
        <v>A</v>
      </c>
      <c r="R149" s="23" t="s">
        <v>454</v>
      </c>
    </row>
    <row r="150" spans="1:19" ht="115.15">
      <c r="A150" s="14" t="s">
        <v>464</v>
      </c>
      <c r="B150" s="15" t="s">
        <v>446</v>
      </c>
      <c r="C150" s="16" t="s">
        <v>447</v>
      </c>
      <c r="D150" s="24" t="s">
        <v>448</v>
      </c>
      <c r="E150" s="25" t="s">
        <v>449</v>
      </c>
      <c r="F150" s="22" t="s">
        <v>465</v>
      </c>
      <c r="G150" s="21" t="s">
        <v>451</v>
      </c>
      <c r="H150" s="21" t="s">
        <v>452</v>
      </c>
      <c r="I150" s="21" t="s">
        <v>466</v>
      </c>
      <c r="J150" s="22"/>
      <c r="K150" s="22"/>
      <c r="L150" s="22"/>
      <c r="M150" s="22"/>
      <c r="N150" s="22"/>
      <c r="O150" s="4">
        <f t="shared" si="2"/>
        <v>1</v>
      </c>
      <c r="P150" s="5" t="str">
        <f>IFERROR(VLOOKUP(O150,Principles!$B$4:$C$7,2,FALSE()),"")</f>
        <v>Perceivable</v>
      </c>
      <c r="Q150" s="6" t="str">
        <f>IFERROR(VLOOKUP(D150,Principles!$B$12:$D$66,3,FALSE()),"")</f>
        <v>A</v>
      </c>
      <c r="R150" s="23" t="s">
        <v>454</v>
      </c>
    </row>
    <row r="151" spans="1:19" ht="144">
      <c r="A151" s="14" t="s">
        <v>112</v>
      </c>
      <c r="B151" s="15" t="s">
        <v>446</v>
      </c>
      <c r="C151" s="16" t="s">
        <v>447</v>
      </c>
      <c r="D151" s="24" t="s">
        <v>448</v>
      </c>
      <c r="E151" s="25" t="s">
        <v>449</v>
      </c>
      <c r="F151" s="22" t="s">
        <v>467</v>
      </c>
      <c r="G151" s="21" t="s">
        <v>451</v>
      </c>
      <c r="H151" s="21" t="s">
        <v>452</v>
      </c>
      <c r="I151" s="21" t="s">
        <v>114</v>
      </c>
      <c r="J151" s="22"/>
      <c r="K151" s="22"/>
      <c r="L151" s="22"/>
      <c r="M151" s="22"/>
      <c r="N151" s="22"/>
      <c r="O151" s="4">
        <f t="shared" si="2"/>
        <v>1</v>
      </c>
      <c r="P151" s="5" t="str">
        <f>IFERROR(VLOOKUP(O151,Principles!$B$4:$C$7,2,FALSE()),"")</f>
        <v>Perceivable</v>
      </c>
      <c r="Q151" s="6" t="str">
        <f>IFERROR(VLOOKUP(D151,Principles!$B$12:$D$66,3,FALSE()),"")</f>
        <v>A</v>
      </c>
      <c r="R151" s="23" t="s">
        <v>454</v>
      </c>
    </row>
    <row r="152" spans="1:19" ht="100.9">
      <c r="A152" s="14" t="s">
        <v>468</v>
      </c>
      <c r="B152" s="15" t="s">
        <v>446</v>
      </c>
      <c r="C152" s="16" t="s">
        <v>447</v>
      </c>
      <c r="D152" s="24" t="s">
        <v>448</v>
      </c>
      <c r="E152" s="25" t="s">
        <v>449</v>
      </c>
      <c r="F152" s="22" t="s">
        <v>469</v>
      </c>
      <c r="G152" s="21" t="s">
        <v>451</v>
      </c>
      <c r="H152" s="21" t="s">
        <v>452</v>
      </c>
      <c r="I152" s="21" t="s">
        <v>470</v>
      </c>
      <c r="J152" s="22"/>
      <c r="K152" s="22"/>
      <c r="L152" s="22"/>
      <c r="M152" s="22"/>
      <c r="N152" s="22"/>
      <c r="O152" s="4">
        <f t="shared" si="2"/>
        <v>1</v>
      </c>
      <c r="P152" s="5" t="str">
        <f>IFERROR(VLOOKUP(O152,Principles!$B$4:$C$7,2,FALSE()),"")</f>
        <v>Perceivable</v>
      </c>
      <c r="Q152" s="6" t="str">
        <f>IFERROR(VLOOKUP(D152,Principles!$B$12:$D$66,3,FALSE()),"")</f>
        <v>A</v>
      </c>
      <c r="R152" s="23" t="s">
        <v>454</v>
      </c>
    </row>
    <row r="153" spans="1:19" ht="129.6">
      <c r="A153" s="14" t="s">
        <v>471</v>
      </c>
      <c r="B153" s="15" t="s">
        <v>446</v>
      </c>
      <c r="C153" s="16" t="s">
        <v>447</v>
      </c>
      <c r="D153" s="24" t="s">
        <v>448</v>
      </c>
      <c r="E153" s="25" t="s">
        <v>449</v>
      </c>
      <c r="F153" s="22" t="s">
        <v>472</v>
      </c>
      <c r="G153" s="21" t="s">
        <v>451</v>
      </c>
      <c r="H153" s="21" t="s">
        <v>452</v>
      </c>
      <c r="I153" s="21" t="s">
        <v>473</v>
      </c>
      <c r="J153" s="22"/>
      <c r="K153" s="22"/>
      <c r="L153" s="22"/>
      <c r="M153" s="22"/>
      <c r="N153" s="22"/>
      <c r="O153" s="4">
        <f t="shared" si="2"/>
        <v>1</v>
      </c>
      <c r="P153" s="5" t="str">
        <f>IFERROR(VLOOKUP(O153,Principles!$B$4:$C$7,2,FALSE()),"")</f>
        <v>Perceivable</v>
      </c>
      <c r="Q153" s="6" t="str">
        <f>IFERROR(VLOOKUP(D153,Principles!$B$12:$D$66,3,FALSE()),"")</f>
        <v>A</v>
      </c>
      <c r="R153" s="23" t="s">
        <v>454</v>
      </c>
    </row>
    <row r="154" spans="1:19" ht="132">
      <c r="A154" s="14" t="s">
        <v>474</v>
      </c>
      <c r="B154" s="15" t="s">
        <v>446</v>
      </c>
      <c r="C154" s="16" t="s">
        <v>447</v>
      </c>
      <c r="D154" s="24" t="s">
        <v>475</v>
      </c>
      <c r="E154" s="25" t="s">
        <v>476</v>
      </c>
      <c r="F154" s="22" t="s">
        <v>477</v>
      </c>
      <c r="G154" s="21" t="s">
        <v>451</v>
      </c>
      <c r="H154" s="21" t="s">
        <v>478</v>
      </c>
      <c r="I154" s="21" t="s">
        <v>479</v>
      </c>
      <c r="J154" s="22"/>
      <c r="K154" s="22"/>
      <c r="L154" s="22"/>
      <c r="M154" s="22"/>
      <c r="N154" s="22"/>
      <c r="O154" s="4">
        <f t="shared" si="2"/>
        <v>1</v>
      </c>
      <c r="P154" s="5" t="str">
        <f>IFERROR(VLOOKUP(O154,Principles!$B$4:$C$7,2,FALSE()),"")</f>
        <v>Perceivable</v>
      </c>
      <c r="Q154" s="6" t="str">
        <f>IFERROR(VLOOKUP(D154,Principles!$B$12:$D$66,3,FALSE()),"")</f>
        <v>A</v>
      </c>
      <c r="R154" s="23" t="s">
        <v>480</v>
      </c>
    </row>
    <row r="155" spans="1:19" ht="132">
      <c r="A155" s="14" t="s">
        <v>481</v>
      </c>
      <c r="B155" s="15" t="s">
        <v>446</v>
      </c>
      <c r="C155" s="16" t="s">
        <v>447</v>
      </c>
      <c r="D155" s="24" t="s">
        <v>475</v>
      </c>
      <c r="E155" s="25" t="s">
        <v>476</v>
      </c>
      <c r="F155" s="22" t="s">
        <v>482</v>
      </c>
      <c r="G155" s="21" t="s">
        <v>451</v>
      </c>
      <c r="H155" s="21" t="s">
        <v>478</v>
      </c>
      <c r="I155" s="21" t="s">
        <v>483</v>
      </c>
      <c r="J155" s="22"/>
      <c r="K155" s="22"/>
      <c r="L155" s="22"/>
      <c r="M155" s="22"/>
      <c r="N155" s="22"/>
      <c r="O155" s="4">
        <f t="shared" si="2"/>
        <v>1</v>
      </c>
      <c r="P155" s="5" t="str">
        <f>IFERROR(VLOOKUP(O155,Principles!$B$4:$C$7,2,FALSE()),"")</f>
        <v>Perceivable</v>
      </c>
      <c r="Q155" s="6" t="str">
        <f>IFERROR(VLOOKUP(D155,Principles!$B$12:$D$66,3,FALSE()),"")</f>
        <v>A</v>
      </c>
      <c r="R155" s="23" t="s">
        <v>480</v>
      </c>
    </row>
    <row r="156" spans="1:19" ht="132">
      <c r="A156" s="14" t="s">
        <v>484</v>
      </c>
      <c r="B156" s="15" t="s">
        <v>446</v>
      </c>
      <c r="C156" s="16" t="s">
        <v>447</v>
      </c>
      <c r="D156" s="24" t="s">
        <v>475</v>
      </c>
      <c r="E156" s="25" t="s">
        <v>476</v>
      </c>
      <c r="F156" s="22" t="s">
        <v>485</v>
      </c>
      <c r="G156" s="21" t="s">
        <v>451</v>
      </c>
      <c r="H156" s="21" t="s">
        <v>478</v>
      </c>
      <c r="I156" s="21" t="s">
        <v>486</v>
      </c>
      <c r="J156" s="22"/>
      <c r="K156" s="22"/>
      <c r="L156" s="22"/>
      <c r="M156" s="22"/>
      <c r="N156" s="22"/>
      <c r="O156" s="4">
        <f t="shared" si="2"/>
        <v>1</v>
      </c>
      <c r="P156" s="5" t="str">
        <f>IFERROR(VLOOKUP(O156,Principles!$B$4:$C$7,2,FALSE()),"")</f>
        <v>Perceivable</v>
      </c>
      <c r="Q156" s="6" t="str">
        <f>IFERROR(VLOOKUP(D156,Principles!$B$12:$D$66,3,FALSE()),"")</f>
        <v>A</v>
      </c>
      <c r="R156" s="23" t="s">
        <v>480</v>
      </c>
      <c r="S156" s="26"/>
    </row>
    <row r="157" spans="1:19" ht="132">
      <c r="A157" s="14" t="s">
        <v>487</v>
      </c>
      <c r="B157" s="15" t="s">
        <v>446</v>
      </c>
      <c r="C157" s="16" t="s">
        <v>447</v>
      </c>
      <c r="D157" s="24" t="s">
        <v>475</v>
      </c>
      <c r="E157" s="25" t="s">
        <v>476</v>
      </c>
      <c r="F157" s="22" t="s">
        <v>488</v>
      </c>
      <c r="G157" s="21" t="s">
        <v>451</v>
      </c>
      <c r="H157" s="21" t="s">
        <v>478</v>
      </c>
      <c r="I157" s="21" t="s">
        <v>489</v>
      </c>
      <c r="J157" s="22"/>
      <c r="K157" s="22"/>
      <c r="L157" s="22"/>
      <c r="M157" s="22"/>
      <c r="N157" s="22"/>
      <c r="O157" s="4">
        <f t="shared" si="2"/>
        <v>1</v>
      </c>
      <c r="P157" s="5" t="str">
        <f>IFERROR(VLOOKUP(O157,Principles!$B$4:$C$7,2,FALSE()),"")</f>
        <v>Perceivable</v>
      </c>
      <c r="Q157" s="6" t="str">
        <f>IFERROR(VLOOKUP(D157,Principles!$B$12:$D$66,3,FALSE()),"")</f>
        <v>A</v>
      </c>
      <c r="R157" s="23" t="s">
        <v>480</v>
      </c>
    </row>
    <row r="158" spans="1:19" ht="144">
      <c r="A158" s="14" t="s">
        <v>490</v>
      </c>
      <c r="B158" s="15" t="s">
        <v>446</v>
      </c>
      <c r="C158" s="16" t="s">
        <v>447</v>
      </c>
      <c r="D158" s="24" t="s">
        <v>475</v>
      </c>
      <c r="E158" s="25" t="s">
        <v>476</v>
      </c>
      <c r="F158" s="22" t="s">
        <v>491</v>
      </c>
      <c r="G158" s="21" t="s">
        <v>451</v>
      </c>
      <c r="H158" s="21" t="s">
        <v>478</v>
      </c>
      <c r="I158" s="21" t="s">
        <v>492</v>
      </c>
      <c r="J158" s="22"/>
      <c r="K158" s="22"/>
      <c r="L158" s="22"/>
      <c r="M158" s="22"/>
      <c r="N158" s="22"/>
      <c r="O158" s="4">
        <f t="shared" si="2"/>
        <v>1</v>
      </c>
      <c r="P158" s="5" t="str">
        <f>IFERROR(VLOOKUP(O158,Principles!$B$4:$C$7,2,FALSE()),"")</f>
        <v>Perceivable</v>
      </c>
      <c r="Q158" s="6" t="str">
        <f>IFERROR(VLOOKUP(D158,Principles!$B$12:$D$66,3,FALSE()),"")</f>
        <v>A</v>
      </c>
      <c r="R158" s="23" t="s">
        <v>480</v>
      </c>
    </row>
    <row r="159" spans="1:19" ht="201.6">
      <c r="A159" s="14" t="s">
        <v>493</v>
      </c>
      <c r="B159" s="15" t="s">
        <v>446</v>
      </c>
      <c r="C159" s="16" t="s">
        <v>447</v>
      </c>
      <c r="D159" s="24" t="s">
        <v>494</v>
      </c>
      <c r="E159" s="25" t="s">
        <v>495</v>
      </c>
      <c r="F159" s="22" t="s">
        <v>496</v>
      </c>
      <c r="G159" s="21" t="s">
        <v>451</v>
      </c>
      <c r="H159" s="21" t="s">
        <v>497</v>
      </c>
      <c r="I159" s="21" t="s">
        <v>498</v>
      </c>
      <c r="J159" s="22"/>
      <c r="K159" s="22"/>
      <c r="L159" s="22"/>
      <c r="M159" s="22"/>
      <c r="N159" s="22"/>
      <c r="O159" s="4">
        <f t="shared" si="2"/>
        <v>1</v>
      </c>
      <c r="P159" s="5" t="str">
        <f>IFERROR(VLOOKUP(O159,Principles!$B$4:$C$7,2,FALSE()),"")</f>
        <v>Perceivable</v>
      </c>
      <c r="Q159" s="6" t="str">
        <f>IFERROR(VLOOKUP(D159,Principles!$B$12:$D$66,3,FALSE()),"")</f>
        <v>AA</v>
      </c>
      <c r="R159" s="23" t="s">
        <v>499</v>
      </c>
    </row>
    <row r="160" spans="1:19" ht="144">
      <c r="A160" s="14" t="s">
        <v>500</v>
      </c>
      <c r="B160" s="15" t="s">
        <v>446</v>
      </c>
      <c r="C160" s="16" t="s">
        <v>447</v>
      </c>
      <c r="D160" s="24" t="s">
        <v>494</v>
      </c>
      <c r="E160" s="25" t="s">
        <v>495</v>
      </c>
      <c r="F160" s="22" t="s">
        <v>501</v>
      </c>
      <c r="G160" s="21" t="s">
        <v>451</v>
      </c>
      <c r="H160" s="21" t="s">
        <v>497</v>
      </c>
      <c r="I160" s="21" t="s">
        <v>502</v>
      </c>
      <c r="J160" s="22"/>
      <c r="K160" s="22"/>
      <c r="L160" s="22"/>
      <c r="M160" s="22"/>
      <c r="N160" s="22"/>
      <c r="O160" s="4">
        <f t="shared" si="2"/>
        <v>1</v>
      </c>
      <c r="P160" s="5" t="str">
        <f>IFERROR(VLOOKUP(O160,Principles!$B$4:$C$7,2,FALSE()),"")</f>
        <v>Perceivable</v>
      </c>
      <c r="Q160" s="6" t="str">
        <f>IFERROR(VLOOKUP(D160,Principles!$B$12:$D$66,3,FALSE()),"")</f>
        <v>AA</v>
      </c>
      <c r="R160" s="23" t="s">
        <v>499</v>
      </c>
    </row>
    <row r="161" spans="1:38" ht="144">
      <c r="A161" s="14" t="s">
        <v>503</v>
      </c>
      <c r="B161" s="15" t="s">
        <v>446</v>
      </c>
      <c r="C161" s="16" t="s">
        <v>447</v>
      </c>
      <c r="D161" s="24" t="s">
        <v>494</v>
      </c>
      <c r="E161" s="25" t="s">
        <v>495</v>
      </c>
      <c r="F161" s="22" t="s">
        <v>504</v>
      </c>
      <c r="G161" s="21" t="s">
        <v>451</v>
      </c>
      <c r="H161" s="21" t="s">
        <v>497</v>
      </c>
      <c r="I161" s="21" t="s">
        <v>505</v>
      </c>
      <c r="J161" s="22"/>
      <c r="K161" s="22"/>
      <c r="L161" s="22"/>
      <c r="M161" s="22"/>
      <c r="N161" s="22"/>
      <c r="O161" s="4">
        <f t="shared" si="2"/>
        <v>1</v>
      </c>
      <c r="P161" s="5" t="str">
        <f>IFERROR(VLOOKUP(O161,Principles!$B$4:$C$7,2,FALSE()),"")</f>
        <v>Perceivable</v>
      </c>
      <c r="Q161" s="6" t="str">
        <f>IFERROR(VLOOKUP(D161,Principles!$B$12:$D$66,3,FALSE()),"")</f>
        <v>AA</v>
      </c>
      <c r="R161" s="23" t="s">
        <v>499</v>
      </c>
    </row>
    <row r="162" spans="1:38" ht="201.6">
      <c r="A162" s="14" t="s">
        <v>506</v>
      </c>
      <c r="B162" s="15" t="s">
        <v>446</v>
      </c>
      <c r="C162" s="16" t="s">
        <v>447</v>
      </c>
      <c r="D162" s="24" t="s">
        <v>494</v>
      </c>
      <c r="E162" s="25" t="s">
        <v>495</v>
      </c>
      <c r="F162" s="22" t="s">
        <v>507</v>
      </c>
      <c r="G162" s="21" t="s">
        <v>451</v>
      </c>
      <c r="H162" s="21" t="s">
        <v>497</v>
      </c>
      <c r="I162" s="21" t="s">
        <v>508</v>
      </c>
      <c r="J162" s="22"/>
      <c r="K162" s="22"/>
      <c r="L162" s="22"/>
      <c r="M162" s="22"/>
      <c r="N162" s="22"/>
      <c r="O162" s="4">
        <f t="shared" si="2"/>
        <v>1</v>
      </c>
      <c r="P162" s="5" t="str">
        <f>IFERROR(VLOOKUP(O162,Principles!$B$4:$C$7,2,FALSE()),"")</f>
        <v>Perceivable</v>
      </c>
      <c r="Q162" s="6" t="str">
        <f>IFERROR(VLOOKUP(D162,Principles!$B$12:$D$66,3,FALSE()),"")</f>
        <v>AA</v>
      </c>
      <c r="R162" s="23" t="s">
        <v>499</v>
      </c>
    </row>
    <row r="163" spans="1:38" ht="132">
      <c r="A163" s="14" t="s">
        <v>509</v>
      </c>
      <c r="B163" s="15" t="s">
        <v>446</v>
      </c>
      <c r="C163" s="16" t="s">
        <v>447</v>
      </c>
      <c r="D163" s="24" t="s">
        <v>494</v>
      </c>
      <c r="E163" s="25" t="s">
        <v>495</v>
      </c>
      <c r="F163" s="22" t="s">
        <v>510</v>
      </c>
      <c r="G163" s="21" t="s">
        <v>451</v>
      </c>
      <c r="H163" s="21" t="s">
        <v>497</v>
      </c>
      <c r="I163" s="21" t="s">
        <v>511</v>
      </c>
      <c r="J163" s="22"/>
      <c r="K163" s="22"/>
      <c r="L163" s="22"/>
      <c r="M163" s="22"/>
      <c r="N163" s="22"/>
      <c r="O163" s="4">
        <f t="shared" si="2"/>
        <v>1</v>
      </c>
      <c r="P163" s="5" t="str">
        <f>IFERROR(VLOOKUP(O163,Principles!$B$4:$C$7,2,FALSE()),"")</f>
        <v>Perceivable</v>
      </c>
      <c r="Q163" s="6" t="str">
        <f>IFERROR(VLOOKUP(D163,Principles!$B$12:$D$66,3,FALSE()),"")</f>
        <v>AA</v>
      </c>
      <c r="R163" s="23" t="s">
        <v>499</v>
      </c>
      <c r="AK163" s="7"/>
      <c r="AL163" s="7"/>
    </row>
    <row r="164" spans="1:38" ht="187.15">
      <c r="A164" s="14" t="s">
        <v>512</v>
      </c>
      <c r="B164" s="15" t="s">
        <v>446</v>
      </c>
      <c r="C164" s="16" t="s">
        <v>447</v>
      </c>
      <c r="D164" s="24" t="s">
        <v>494</v>
      </c>
      <c r="E164" s="25" t="s">
        <v>495</v>
      </c>
      <c r="F164" s="22" t="s">
        <v>513</v>
      </c>
      <c r="G164" s="21" t="s">
        <v>451</v>
      </c>
      <c r="H164" s="21" t="s">
        <v>497</v>
      </c>
      <c r="I164" s="21" t="s">
        <v>514</v>
      </c>
      <c r="J164" s="22"/>
      <c r="K164" s="22"/>
      <c r="L164" s="22"/>
      <c r="M164" s="22"/>
      <c r="N164" s="22"/>
      <c r="O164" s="4">
        <f t="shared" si="2"/>
        <v>1</v>
      </c>
      <c r="P164" s="5" t="str">
        <f>IFERROR(VLOOKUP(O164,Principles!$B$4:$C$7,2,FALSE()),"")</f>
        <v>Perceivable</v>
      </c>
      <c r="Q164" s="6" t="str">
        <f>IFERROR(VLOOKUP(D164,Principles!$B$12:$D$66,3,FALSE()),"")</f>
        <v>AA</v>
      </c>
      <c r="R164" s="23" t="s">
        <v>499</v>
      </c>
      <c r="AK164" s="7"/>
      <c r="AL164" s="7"/>
    </row>
    <row r="165" spans="1:38" ht="100.9">
      <c r="A165" s="14" t="s">
        <v>515</v>
      </c>
      <c r="B165" s="15" t="s">
        <v>446</v>
      </c>
      <c r="C165" s="16" t="s">
        <v>447</v>
      </c>
      <c r="D165" s="24" t="s">
        <v>516</v>
      </c>
      <c r="E165" s="25" t="s">
        <v>517</v>
      </c>
      <c r="F165" s="22" t="s">
        <v>518</v>
      </c>
      <c r="G165" s="21" t="s">
        <v>451</v>
      </c>
      <c r="H165" s="21" t="s">
        <v>519</v>
      </c>
      <c r="I165" s="21" t="s">
        <v>520</v>
      </c>
      <c r="J165" s="22"/>
      <c r="K165" s="22"/>
      <c r="L165" s="22"/>
      <c r="M165" s="22"/>
      <c r="N165" s="22"/>
      <c r="O165" s="4">
        <f t="shared" si="2"/>
        <v>1</v>
      </c>
      <c r="P165" s="5" t="str">
        <f>IFERROR(VLOOKUP(O165,Principles!$B$4:$C$7,2,FALSE()),"")</f>
        <v>Perceivable</v>
      </c>
      <c r="Q165" s="6" t="str">
        <f>IFERROR(VLOOKUP(D165,Principles!$B$12:$D$66,3,FALSE()),"")</f>
        <v>AA</v>
      </c>
      <c r="R165" s="23" t="s">
        <v>521</v>
      </c>
      <c r="AK165" s="7"/>
      <c r="AL165" s="7"/>
    </row>
    <row r="166" spans="1:38" ht="86.45">
      <c r="A166" s="14" t="s">
        <v>522</v>
      </c>
      <c r="B166" s="15" t="s">
        <v>446</v>
      </c>
      <c r="C166" s="16" t="s">
        <v>447</v>
      </c>
      <c r="D166" s="24" t="s">
        <v>516</v>
      </c>
      <c r="E166" s="25" t="s">
        <v>517</v>
      </c>
      <c r="F166" s="22" t="s">
        <v>523</v>
      </c>
      <c r="G166" s="21" t="s">
        <v>451</v>
      </c>
      <c r="H166" s="21" t="s">
        <v>519</v>
      </c>
      <c r="I166" s="21" t="s">
        <v>524</v>
      </c>
      <c r="J166" s="22"/>
      <c r="K166" s="22"/>
      <c r="L166" s="22"/>
      <c r="M166" s="22"/>
      <c r="N166" s="22"/>
      <c r="O166" s="4">
        <f t="shared" si="2"/>
        <v>1</v>
      </c>
      <c r="P166" s="5" t="str">
        <f>IFERROR(VLOOKUP(O166,Principles!$B$4:$C$7,2,FALSE()),"")</f>
        <v>Perceivable</v>
      </c>
      <c r="Q166" s="6" t="str">
        <f>IFERROR(VLOOKUP(D166,Principles!$B$12:$D$66,3,FALSE()),"")</f>
        <v>AA</v>
      </c>
      <c r="R166" s="23" t="s">
        <v>521</v>
      </c>
      <c r="AK166" s="7"/>
      <c r="AL166" s="7"/>
    </row>
    <row r="167" spans="1:38" ht="72">
      <c r="A167" s="14" t="s">
        <v>525</v>
      </c>
      <c r="B167" s="15" t="s">
        <v>446</v>
      </c>
      <c r="C167" s="16" t="s">
        <v>447</v>
      </c>
      <c r="D167" s="24" t="s">
        <v>516</v>
      </c>
      <c r="E167" s="25" t="s">
        <v>517</v>
      </c>
      <c r="F167" s="22" t="s">
        <v>526</v>
      </c>
      <c r="G167" s="21" t="s">
        <v>451</v>
      </c>
      <c r="H167" s="21" t="s">
        <v>519</v>
      </c>
      <c r="I167" s="21" t="s">
        <v>527</v>
      </c>
      <c r="J167" s="22"/>
      <c r="K167" s="22"/>
      <c r="L167" s="22"/>
      <c r="M167" s="22"/>
      <c r="N167" s="22"/>
      <c r="O167" s="4">
        <f t="shared" si="2"/>
        <v>1</v>
      </c>
      <c r="P167" s="5" t="str">
        <f>IFERROR(VLOOKUP(O167,Principles!$B$4:$C$7,2,FALSE()),"")</f>
        <v>Perceivable</v>
      </c>
      <c r="Q167" s="6" t="str">
        <f>IFERROR(VLOOKUP(D167,Principles!$B$12:$D$66,3,FALSE()),"")</f>
        <v>AA</v>
      </c>
      <c r="R167" s="23" t="s">
        <v>521</v>
      </c>
    </row>
    <row r="168" spans="1:38" ht="86.45">
      <c r="A168" s="14" t="s">
        <v>528</v>
      </c>
      <c r="B168" s="15" t="s">
        <v>446</v>
      </c>
      <c r="C168" s="16" t="s">
        <v>447</v>
      </c>
      <c r="D168" s="24" t="s">
        <v>516</v>
      </c>
      <c r="E168" s="25" t="s">
        <v>517</v>
      </c>
      <c r="F168" s="22" t="s">
        <v>529</v>
      </c>
      <c r="G168" s="21" t="s">
        <v>451</v>
      </c>
      <c r="H168" s="21" t="s">
        <v>519</v>
      </c>
      <c r="I168" s="21" t="s">
        <v>530</v>
      </c>
      <c r="J168" s="22"/>
      <c r="K168" s="22"/>
      <c r="L168" s="22"/>
      <c r="M168" s="22"/>
      <c r="N168" s="22"/>
      <c r="O168" s="4">
        <f t="shared" si="2"/>
        <v>1</v>
      </c>
      <c r="P168" s="5" t="str">
        <f>IFERROR(VLOOKUP(O168,Principles!$B$4:$C$7,2,FALSE()),"")</f>
        <v>Perceivable</v>
      </c>
      <c r="Q168" s="6" t="str">
        <f>IFERROR(VLOOKUP(D168,Principles!$B$12:$D$66,3,FALSE()),"")</f>
        <v>AA</v>
      </c>
      <c r="R168" s="23" t="s">
        <v>521</v>
      </c>
    </row>
    <row r="169" spans="1:38" s="2" customFormat="1" ht="72">
      <c r="A169" s="14" t="s">
        <v>531</v>
      </c>
      <c r="B169" s="15" t="s">
        <v>446</v>
      </c>
      <c r="C169" s="16" t="s">
        <v>447</v>
      </c>
      <c r="D169" s="24" t="s">
        <v>516</v>
      </c>
      <c r="E169" s="25" t="s">
        <v>517</v>
      </c>
      <c r="F169" s="22" t="s">
        <v>532</v>
      </c>
      <c r="G169" s="21" t="s">
        <v>451</v>
      </c>
      <c r="H169" s="21" t="s">
        <v>519</v>
      </c>
      <c r="I169" s="21" t="s">
        <v>533</v>
      </c>
      <c r="J169" s="22"/>
      <c r="K169" s="22"/>
      <c r="L169" s="22"/>
      <c r="M169" s="22"/>
      <c r="N169" s="22"/>
      <c r="O169" s="4">
        <f t="shared" si="2"/>
        <v>1</v>
      </c>
      <c r="P169" s="5" t="str">
        <f>IFERROR(VLOOKUP(O169,Principles!$B$4:$C$7,2,FALSE()),"")</f>
        <v>Perceivable</v>
      </c>
      <c r="Q169" s="6" t="str">
        <f>IFERROR(VLOOKUP(D169,Principles!$B$12:$D$66,3,FALSE()),"")</f>
        <v>AA</v>
      </c>
      <c r="R169" s="23" t="s">
        <v>521</v>
      </c>
    </row>
    <row r="170" spans="1:38" ht="158.44999999999999">
      <c r="A170" s="14" t="s">
        <v>534</v>
      </c>
      <c r="B170" s="15" t="s">
        <v>446</v>
      </c>
      <c r="C170" s="16" t="s">
        <v>447</v>
      </c>
      <c r="D170" s="24" t="s">
        <v>516</v>
      </c>
      <c r="E170" s="25" t="s">
        <v>517</v>
      </c>
      <c r="F170" s="22" t="s">
        <v>535</v>
      </c>
      <c r="G170" s="21" t="s">
        <v>451</v>
      </c>
      <c r="H170" s="21" t="s">
        <v>519</v>
      </c>
      <c r="I170" s="21" t="s">
        <v>536</v>
      </c>
      <c r="J170" s="22"/>
      <c r="K170" s="22"/>
      <c r="L170" s="22"/>
      <c r="M170" s="22"/>
      <c r="N170" s="22"/>
      <c r="O170" s="4">
        <f t="shared" si="2"/>
        <v>1</v>
      </c>
      <c r="P170" s="5" t="str">
        <f>IFERROR(VLOOKUP(O170,Principles!$B$4:$C$7,2,FALSE()),"")</f>
        <v>Perceivable</v>
      </c>
      <c r="Q170" s="6" t="str">
        <f>IFERROR(VLOOKUP(D170,Principles!$B$12:$D$66,3,FALSE()),"")</f>
        <v>AA</v>
      </c>
      <c r="R170" s="23" t="s">
        <v>521</v>
      </c>
    </row>
    <row r="171" spans="1:38" ht="100.9">
      <c r="A171" s="14" t="s">
        <v>537</v>
      </c>
      <c r="B171" s="15" t="s">
        <v>446</v>
      </c>
      <c r="C171" s="16" t="s">
        <v>447</v>
      </c>
      <c r="D171" s="24" t="s">
        <v>516</v>
      </c>
      <c r="E171" s="25" t="s">
        <v>517</v>
      </c>
      <c r="F171" s="22" t="s">
        <v>538</v>
      </c>
      <c r="G171" s="21" t="s">
        <v>451</v>
      </c>
      <c r="H171" s="21" t="s">
        <v>519</v>
      </c>
      <c r="I171" s="21" t="s">
        <v>539</v>
      </c>
      <c r="J171" s="22"/>
      <c r="K171" s="22"/>
      <c r="L171" s="22"/>
      <c r="M171" s="22"/>
      <c r="N171" s="22"/>
      <c r="O171" s="4">
        <f t="shared" si="2"/>
        <v>1</v>
      </c>
      <c r="P171" s="5" t="str">
        <f>IFERROR(VLOOKUP(O171,Principles!$B$4:$C$7,2,FALSE()),"")</f>
        <v>Perceivable</v>
      </c>
      <c r="Q171" s="6" t="str">
        <f>IFERROR(VLOOKUP(D171,Principles!$B$12:$D$66,3,FALSE()),"")</f>
        <v>AA</v>
      </c>
      <c r="R171" s="23" t="s">
        <v>521</v>
      </c>
    </row>
    <row r="172" spans="1:38" ht="216">
      <c r="A172" s="14" t="s">
        <v>540</v>
      </c>
      <c r="B172" s="15" t="s">
        <v>446</v>
      </c>
      <c r="C172" s="16" t="s">
        <v>447</v>
      </c>
      <c r="D172" s="24" t="s">
        <v>516</v>
      </c>
      <c r="E172" s="25" t="s">
        <v>517</v>
      </c>
      <c r="F172" s="22" t="s">
        <v>541</v>
      </c>
      <c r="G172" s="21" t="s">
        <v>451</v>
      </c>
      <c r="H172" s="21" t="s">
        <v>519</v>
      </c>
      <c r="I172" s="21" t="s">
        <v>542</v>
      </c>
      <c r="J172" s="22"/>
      <c r="K172" s="22"/>
      <c r="L172" s="22"/>
      <c r="M172" s="22"/>
      <c r="N172" s="22"/>
      <c r="O172" s="4">
        <f t="shared" si="2"/>
        <v>1</v>
      </c>
      <c r="P172" s="5" t="str">
        <f>IFERROR(VLOOKUP(O172,Principles!$B$4:$C$7,2,FALSE()),"")</f>
        <v>Perceivable</v>
      </c>
      <c r="Q172" s="6" t="str">
        <f>IFERROR(VLOOKUP(D172,Principles!$B$12:$D$66,3,FALSE()),"")</f>
        <v>AA</v>
      </c>
      <c r="R172" s="23" t="s">
        <v>521</v>
      </c>
    </row>
    <row r="173" spans="1:38" ht="86.45">
      <c r="A173" s="14" t="s">
        <v>543</v>
      </c>
      <c r="B173" s="15" t="s">
        <v>446</v>
      </c>
      <c r="C173" s="16" t="s">
        <v>447</v>
      </c>
      <c r="D173" s="24" t="s">
        <v>516</v>
      </c>
      <c r="E173" s="25" t="s">
        <v>517</v>
      </c>
      <c r="F173" s="22" t="s">
        <v>544</v>
      </c>
      <c r="G173" s="21" t="s">
        <v>451</v>
      </c>
      <c r="H173" s="21" t="s">
        <v>519</v>
      </c>
      <c r="I173" s="21" t="s">
        <v>545</v>
      </c>
      <c r="J173" s="22"/>
      <c r="K173" s="22"/>
      <c r="L173" s="22"/>
      <c r="M173" s="22"/>
      <c r="N173" s="22"/>
      <c r="O173" s="4">
        <f t="shared" si="2"/>
        <v>1</v>
      </c>
      <c r="P173" s="5" t="str">
        <f>IFERROR(VLOOKUP(O173,Principles!$B$4:$C$7,2,FALSE()),"")</f>
        <v>Perceivable</v>
      </c>
      <c r="Q173" s="6" t="str">
        <f>IFERROR(VLOOKUP(D173,Principles!$B$12:$D$66,3,FALSE()),"")</f>
        <v>AA</v>
      </c>
      <c r="R173" s="23" t="s">
        <v>521</v>
      </c>
    </row>
    <row r="174" spans="1:38" ht="100.9">
      <c r="A174" s="14" t="s">
        <v>546</v>
      </c>
      <c r="B174" s="15" t="s">
        <v>446</v>
      </c>
      <c r="C174" s="16" t="s">
        <v>447</v>
      </c>
      <c r="D174" s="24" t="s">
        <v>516</v>
      </c>
      <c r="E174" s="25" t="s">
        <v>517</v>
      </c>
      <c r="F174" s="22" t="s">
        <v>547</v>
      </c>
      <c r="G174" s="21" t="s">
        <v>451</v>
      </c>
      <c r="H174" s="21" t="s">
        <v>519</v>
      </c>
      <c r="I174" s="21" t="s">
        <v>548</v>
      </c>
      <c r="J174" s="22"/>
      <c r="K174" s="22"/>
      <c r="L174" s="22"/>
      <c r="M174" s="22"/>
      <c r="N174" s="22"/>
      <c r="O174" s="4">
        <f t="shared" si="2"/>
        <v>1</v>
      </c>
      <c r="P174" s="5" t="str">
        <f>IFERROR(VLOOKUP(O174,Principles!$B$4:$C$7,2,FALSE()),"")</f>
        <v>Perceivable</v>
      </c>
      <c r="Q174" s="6" t="str">
        <f>IFERROR(VLOOKUP(D174,Principles!$B$12:$D$66,3,FALSE()),"")</f>
        <v>AA</v>
      </c>
      <c r="R174" s="23" t="s">
        <v>521</v>
      </c>
    </row>
    <row r="175" spans="1:38" ht="129.6">
      <c r="A175" s="14" t="s">
        <v>549</v>
      </c>
      <c r="B175" s="15" t="s">
        <v>446</v>
      </c>
      <c r="C175" s="16" t="s">
        <v>447</v>
      </c>
      <c r="D175" s="24" t="s">
        <v>516</v>
      </c>
      <c r="E175" s="25" t="s">
        <v>517</v>
      </c>
      <c r="F175" s="22" t="s">
        <v>550</v>
      </c>
      <c r="G175" s="21" t="s">
        <v>451</v>
      </c>
      <c r="H175" s="21" t="s">
        <v>519</v>
      </c>
      <c r="I175" s="21" t="s">
        <v>551</v>
      </c>
      <c r="J175" s="22"/>
      <c r="K175" s="22"/>
      <c r="L175" s="22"/>
      <c r="M175" s="22"/>
      <c r="N175" s="22"/>
      <c r="O175" s="4">
        <f t="shared" si="2"/>
        <v>1</v>
      </c>
      <c r="P175" s="5" t="str">
        <f>IFERROR(VLOOKUP(O175,Principles!$B$4:$C$7,2,FALSE()),"")</f>
        <v>Perceivable</v>
      </c>
      <c r="Q175" s="6" t="str">
        <f>IFERROR(VLOOKUP(D175,Principles!$B$12:$D$66,3,FALSE()),"")</f>
        <v>AA</v>
      </c>
      <c r="R175" s="23" t="s">
        <v>521</v>
      </c>
    </row>
    <row r="176" spans="1:38" ht="158.44999999999999">
      <c r="A176" s="14" t="s">
        <v>552</v>
      </c>
      <c r="B176" s="15" t="s">
        <v>446</v>
      </c>
      <c r="C176" s="16" t="s">
        <v>447</v>
      </c>
      <c r="D176" s="24" t="s">
        <v>516</v>
      </c>
      <c r="E176" s="25" t="s">
        <v>517</v>
      </c>
      <c r="F176" s="22" t="s">
        <v>553</v>
      </c>
      <c r="G176" s="21" t="s">
        <v>451</v>
      </c>
      <c r="H176" s="21" t="s">
        <v>519</v>
      </c>
      <c r="I176" s="21" t="s">
        <v>554</v>
      </c>
      <c r="J176" s="22"/>
      <c r="K176" s="22"/>
      <c r="L176" s="22"/>
      <c r="M176" s="22"/>
      <c r="N176" s="22"/>
      <c r="O176" s="4">
        <f t="shared" si="2"/>
        <v>1</v>
      </c>
      <c r="P176" s="5" t="str">
        <f>IFERROR(VLOOKUP(O176,Principles!$B$4:$C$7,2,FALSE()),"")</f>
        <v>Perceivable</v>
      </c>
      <c r="Q176" s="6" t="str">
        <f>IFERROR(VLOOKUP(D176,Principles!$B$12:$D$66,3,FALSE()),"")</f>
        <v>AA</v>
      </c>
      <c r="R176" s="23" t="s">
        <v>521</v>
      </c>
    </row>
    <row r="177" spans="1:18" ht="118.9">
      <c r="A177" s="14" t="s">
        <v>555</v>
      </c>
      <c r="B177" s="15" t="s">
        <v>446</v>
      </c>
      <c r="C177" s="16" t="s">
        <v>447</v>
      </c>
      <c r="D177" s="24" t="s">
        <v>556</v>
      </c>
      <c r="E177" s="25" t="s">
        <v>557</v>
      </c>
      <c r="F177" s="22" t="s">
        <v>558</v>
      </c>
      <c r="G177" s="21" t="s">
        <v>451</v>
      </c>
      <c r="H177" s="21" t="s">
        <v>559</v>
      </c>
      <c r="I177" s="21" t="s">
        <v>560</v>
      </c>
      <c r="J177" s="22"/>
      <c r="K177" s="22"/>
      <c r="L177" s="22"/>
      <c r="M177" s="22"/>
      <c r="N177" s="22"/>
      <c r="O177" s="4">
        <f t="shared" si="2"/>
        <v>1</v>
      </c>
      <c r="P177" s="5" t="str">
        <f>IFERROR(VLOOKUP(O177,Principles!$B$4:$C$7,2,FALSE()),"")</f>
        <v>Perceivable</v>
      </c>
      <c r="Q177" s="6" t="str">
        <f>IFERROR(VLOOKUP(D177,Principles!$B$12:$D$66,3,FALSE()),"")</f>
        <v>AA</v>
      </c>
      <c r="R177" s="23" t="s">
        <v>561</v>
      </c>
    </row>
    <row r="178" spans="1:18" ht="129.6">
      <c r="A178" s="14" t="s">
        <v>562</v>
      </c>
      <c r="B178" s="15" t="s">
        <v>446</v>
      </c>
      <c r="C178" s="16" t="s">
        <v>447</v>
      </c>
      <c r="D178" s="24" t="s">
        <v>556</v>
      </c>
      <c r="E178" s="25" t="s">
        <v>557</v>
      </c>
      <c r="F178" s="22" t="s">
        <v>563</v>
      </c>
      <c r="G178" s="21" t="s">
        <v>451</v>
      </c>
      <c r="H178" s="21" t="s">
        <v>559</v>
      </c>
      <c r="I178" s="21" t="s">
        <v>564</v>
      </c>
      <c r="J178" s="22"/>
      <c r="K178" s="22"/>
      <c r="L178" s="22"/>
      <c r="M178" s="22"/>
      <c r="N178" s="22"/>
      <c r="O178" s="4">
        <f t="shared" si="2"/>
        <v>1</v>
      </c>
      <c r="P178" s="5" t="str">
        <f>IFERROR(VLOOKUP(O178,Principles!$B$4:$C$7,2,FALSE()),"")</f>
        <v>Perceivable</v>
      </c>
      <c r="Q178" s="6" t="str">
        <f>IFERROR(VLOOKUP(D178,Principles!$B$12:$D$66,3,FALSE()),"")</f>
        <v>AA</v>
      </c>
      <c r="R178" s="23" t="s">
        <v>561</v>
      </c>
    </row>
    <row r="179" spans="1:18" ht="118.9">
      <c r="A179" s="14" t="s">
        <v>271</v>
      </c>
      <c r="B179" s="15" t="s">
        <v>446</v>
      </c>
      <c r="C179" s="16" t="s">
        <v>447</v>
      </c>
      <c r="D179" s="24" t="s">
        <v>556</v>
      </c>
      <c r="E179" s="25" t="s">
        <v>557</v>
      </c>
      <c r="F179" s="22" t="s">
        <v>272</v>
      </c>
      <c r="G179" s="21" t="s">
        <v>451</v>
      </c>
      <c r="H179" s="21" t="s">
        <v>559</v>
      </c>
      <c r="I179" s="21" t="s">
        <v>273</v>
      </c>
      <c r="J179" s="22"/>
      <c r="K179" s="22"/>
      <c r="L179" s="22"/>
      <c r="M179" s="22"/>
      <c r="N179" s="22"/>
      <c r="O179" s="4">
        <f t="shared" si="2"/>
        <v>1</v>
      </c>
      <c r="P179" s="5" t="str">
        <f>IFERROR(VLOOKUP(O179,Principles!$B$4:$C$7,2,FALSE()),"")</f>
        <v>Perceivable</v>
      </c>
      <c r="Q179" s="6" t="str">
        <f>IFERROR(VLOOKUP(D179,Principles!$B$12:$D$66,3,FALSE()),"")</f>
        <v>AA</v>
      </c>
      <c r="R179" s="23" t="s">
        <v>561</v>
      </c>
    </row>
    <row r="180" spans="1:18" ht="259.14999999999998">
      <c r="A180" s="14" t="s">
        <v>565</v>
      </c>
      <c r="B180" s="15" t="s">
        <v>446</v>
      </c>
      <c r="C180" s="16" t="s">
        <v>447</v>
      </c>
      <c r="D180" s="24" t="s">
        <v>556</v>
      </c>
      <c r="E180" s="25" t="s">
        <v>557</v>
      </c>
      <c r="F180" s="22" t="s">
        <v>566</v>
      </c>
      <c r="G180" s="21" t="s">
        <v>451</v>
      </c>
      <c r="H180" s="21" t="s">
        <v>559</v>
      </c>
      <c r="I180" s="21" t="s">
        <v>567</v>
      </c>
      <c r="J180" s="22"/>
      <c r="K180" s="22"/>
      <c r="L180" s="22"/>
      <c r="M180" s="22"/>
      <c r="N180" s="22"/>
      <c r="O180" s="4">
        <f t="shared" si="2"/>
        <v>1</v>
      </c>
      <c r="P180" s="5" t="str">
        <f>IFERROR(VLOOKUP(O180,Principles!$B$4:$C$7,2,FALSE()),"")</f>
        <v>Perceivable</v>
      </c>
      <c r="Q180" s="6" t="str">
        <f>IFERROR(VLOOKUP(D180,Principles!$B$12:$D$66,3,FALSE()),"")</f>
        <v>AA</v>
      </c>
      <c r="R180" s="23" t="s">
        <v>561</v>
      </c>
    </row>
    <row r="181" spans="1:18" ht="230.45">
      <c r="A181" s="14" t="s">
        <v>568</v>
      </c>
      <c r="B181" s="15" t="s">
        <v>446</v>
      </c>
      <c r="C181" s="16" t="s">
        <v>447</v>
      </c>
      <c r="D181" s="24" t="s">
        <v>569</v>
      </c>
      <c r="E181" s="25" t="s">
        <v>570</v>
      </c>
      <c r="F181" s="22" t="s">
        <v>571</v>
      </c>
      <c r="G181" s="21" t="s">
        <v>451</v>
      </c>
      <c r="H181" s="21" t="s">
        <v>572</v>
      </c>
      <c r="I181" s="21" t="s">
        <v>573</v>
      </c>
      <c r="J181" s="22"/>
      <c r="K181" s="22"/>
      <c r="L181" s="22"/>
      <c r="M181" s="22"/>
      <c r="N181" s="22"/>
      <c r="O181" s="4">
        <f t="shared" si="2"/>
        <v>1</v>
      </c>
      <c r="P181" s="5" t="str">
        <f>IFERROR(VLOOKUP(O181,Principles!$B$4:$C$7,2,FALSE()),"")</f>
        <v>Perceivable</v>
      </c>
      <c r="Q181" s="6" t="str">
        <f>IFERROR(VLOOKUP(D181,Principles!$B$12:$D$66,3,FALSE()),"")</f>
        <v>AA</v>
      </c>
      <c r="R181" s="23" t="s">
        <v>574</v>
      </c>
    </row>
    <row r="182" spans="1:18" ht="216">
      <c r="A182" s="14" t="s">
        <v>575</v>
      </c>
      <c r="B182" s="15" t="s">
        <v>446</v>
      </c>
      <c r="C182" s="16" t="s">
        <v>447</v>
      </c>
      <c r="D182" s="24" t="s">
        <v>569</v>
      </c>
      <c r="E182" s="25" t="s">
        <v>570</v>
      </c>
      <c r="F182" s="22" t="s">
        <v>576</v>
      </c>
      <c r="G182" s="21" t="s">
        <v>451</v>
      </c>
      <c r="H182" s="21" t="s">
        <v>572</v>
      </c>
      <c r="I182" s="21" t="s">
        <v>577</v>
      </c>
      <c r="J182" s="22"/>
      <c r="K182" s="22"/>
      <c r="L182" s="22"/>
      <c r="M182" s="22"/>
      <c r="N182" s="22"/>
      <c r="O182" s="4">
        <f t="shared" si="2"/>
        <v>1</v>
      </c>
      <c r="P182" s="5" t="str">
        <f>IFERROR(VLOOKUP(O182,Principles!$B$4:$C$7,2,FALSE()),"")</f>
        <v>Perceivable</v>
      </c>
      <c r="Q182" s="6" t="str">
        <f>IFERROR(VLOOKUP(D182,Principles!$B$12:$D$66,3,FALSE()),"")</f>
        <v>AA</v>
      </c>
      <c r="R182" s="23" t="s">
        <v>574</v>
      </c>
    </row>
    <row r="183" spans="1:18" ht="244.9">
      <c r="A183" s="14" t="s">
        <v>578</v>
      </c>
      <c r="B183" s="15" t="s">
        <v>446</v>
      </c>
      <c r="C183" s="16" t="s">
        <v>447</v>
      </c>
      <c r="D183" s="24" t="s">
        <v>569</v>
      </c>
      <c r="E183" s="25" t="s">
        <v>570</v>
      </c>
      <c r="F183" s="22" t="s">
        <v>579</v>
      </c>
      <c r="G183" s="21" t="s">
        <v>451</v>
      </c>
      <c r="H183" s="21" t="s">
        <v>572</v>
      </c>
      <c r="I183" s="21" t="s">
        <v>580</v>
      </c>
      <c r="J183" s="22"/>
      <c r="K183" s="22"/>
      <c r="L183" s="22"/>
      <c r="M183" s="22"/>
      <c r="N183" s="22"/>
      <c r="O183" s="4">
        <f t="shared" si="2"/>
        <v>1</v>
      </c>
      <c r="P183" s="5" t="str">
        <f>IFERROR(VLOOKUP(O183,Principles!$B$4:$C$7,2,FALSE()),"")</f>
        <v>Perceivable</v>
      </c>
      <c r="Q183" s="6" t="str">
        <f>IFERROR(VLOOKUP(D183,Principles!$B$12:$D$66,3,FALSE()),"")</f>
        <v>AA</v>
      </c>
      <c r="R183" s="23" t="s">
        <v>574</v>
      </c>
    </row>
    <row r="184" spans="1:18" ht="187.15">
      <c r="A184" s="14" t="s">
        <v>581</v>
      </c>
      <c r="B184" s="15" t="s">
        <v>446</v>
      </c>
      <c r="C184" s="16" t="s">
        <v>447</v>
      </c>
      <c r="D184" s="24" t="s">
        <v>569</v>
      </c>
      <c r="E184" s="25" t="s">
        <v>570</v>
      </c>
      <c r="F184" s="22" t="s">
        <v>582</v>
      </c>
      <c r="G184" s="21" t="s">
        <v>451</v>
      </c>
      <c r="H184" s="21" t="s">
        <v>572</v>
      </c>
      <c r="I184" s="21" t="s">
        <v>583</v>
      </c>
      <c r="J184" s="22"/>
      <c r="K184" s="22"/>
      <c r="L184" s="22"/>
      <c r="M184" s="22"/>
      <c r="N184" s="22"/>
      <c r="O184" s="4">
        <f t="shared" si="2"/>
        <v>1</v>
      </c>
      <c r="P184" s="5" t="str">
        <f>IFERROR(VLOOKUP(O184,Principles!$B$4:$C$7,2,FALSE()),"")</f>
        <v>Perceivable</v>
      </c>
      <c r="Q184" s="6" t="str">
        <f>IFERROR(VLOOKUP(D184,Principles!$B$12:$D$66,3,FALSE()),"")</f>
        <v>AA</v>
      </c>
      <c r="R184" s="23" t="s">
        <v>574</v>
      </c>
    </row>
    <row r="185" spans="1:18" ht="158.44999999999999">
      <c r="A185" s="14" t="s">
        <v>534</v>
      </c>
      <c r="B185" s="15" t="s">
        <v>446</v>
      </c>
      <c r="C185" s="16" t="s">
        <v>447</v>
      </c>
      <c r="D185" s="24" t="s">
        <v>569</v>
      </c>
      <c r="E185" s="25" t="s">
        <v>570</v>
      </c>
      <c r="F185" s="22" t="s">
        <v>535</v>
      </c>
      <c r="G185" s="21" t="s">
        <v>451</v>
      </c>
      <c r="H185" s="21" t="s">
        <v>572</v>
      </c>
      <c r="I185" s="21" t="s">
        <v>536</v>
      </c>
      <c r="J185" s="22"/>
      <c r="K185" s="22"/>
      <c r="L185" s="22"/>
      <c r="M185" s="22"/>
      <c r="N185" s="22"/>
      <c r="O185" s="4">
        <f t="shared" si="2"/>
        <v>1</v>
      </c>
      <c r="P185" s="5" t="str">
        <f>IFERROR(VLOOKUP(O185,Principles!$B$4:$C$7,2,FALSE()),"")</f>
        <v>Perceivable</v>
      </c>
      <c r="Q185" s="6" t="str">
        <f>IFERROR(VLOOKUP(D185,Principles!$B$12:$D$66,3,FALSE()),"")</f>
        <v>AA</v>
      </c>
      <c r="R185" s="23" t="s">
        <v>574</v>
      </c>
    </row>
    <row r="186" spans="1:18" ht="187.15">
      <c r="A186" s="14" t="s">
        <v>584</v>
      </c>
      <c r="B186" s="15" t="s">
        <v>446</v>
      </c>
      <c r="C186" s="16" t="s">
        <v>447</v>
      </c>
      <c r="D186" s="24" t="s">
        <v>569</v>
      </c>
      <c r="E186" s="25" t="s">
        <v>570</v>
      </c>
      <c r="F186" s="22" t="s">
        <v>585</v>
      </c>
      <c r="G186" s="21" t="s">
        <v>451</v>
      </c>
      <c r="H186" s="21" t="s">
        <v>572</v>
      </c>
      <c r="I186" s="21" t="s">
        <v>586</v>
      </c>
      <c r="J186" s="22"/>
      <c r="K186" s="22"/>
      <c r="L186" s="22"/>
      <c r="M186" s="22"/>
      <c r="N186" s="22"/>
      <c r="O186" s="4">
        <f t="shared" si="2"/>
        <v>1</v>
      </c>
      <c r="P186" s="5" t="str">
        <f>IFERROR(VLOOKUP(O186,Principles!$B$4:$C$7,2,FALSE()),"")</f>
        <v>Perceivable</v>
      </c>
      <c r="Q186" s="6" t="str">
        <f>IFERROR(VLOOKUP(D186,Principles!$B$12:$D$66,3,FALSE()),"")</f>
        <v>AA</v>
      </c>
      <c r="R186" s="23" t="s">
        <v>574</v>
      </c>
    </row>
    <row r="187" spans="1:18" ht="331.15">
      <c r="A187" s="14" t="s">
        <v>587</v>
      </c>
      <c r="B187" s="15" t="s">
        <v>446</v>
      </c>
      <c r="C187" s="16" t="s">
        <v>447</v>
      </c>
      <c r="D187" s="24" t="s">
        <v>569</v>
      </c>
      <c r="E187" s="25" t="s">
        <v>570</v>
      </c>
      <c r="F187" s="22" t="s">
        <v>588</v>
      </c>
      <c r="G187" s="21" t="s">
        <v>451</v>
      </c>
      <c r="H187" s="21" t="s">
        <v>572</v>
      </c>
      <c r="I187" s="21" t="s">
        <v>589</v>
      </c>
      <c r="J187" s="22"/>
      <c r="K187" s="22"/>
      <c r="L187" s="22"/>
      <c r="M187" s="22"/>
      <c r="N187" s="22"/>
      <c r="O187" s="4">
        <f t="shared" si="2"/>
        <v>1</v>
      </c>
      <c r="P187" s="5" t="str">
        <f>IFERROR(VLOOKUP(O187,Principles!$B$4:$C$7,2,FALSE()),"")</f>
        <v>Perceivable</v>
      </c>
      <c r="Q187" s="6" t="str">
        <f>IFERROR(VLOOKUP(D187,Principles!$B$12:$D$66,3,FALSE()),"")</f>
        <v>AA</v>
      </c>
      <c r="R187" s="23" t="s">
        <v>574</v>
      </c>
    </row>
    <row r="188" spans="1:18" ht="273.60000000000002">
      <c r="A188" s="14" t="s">
        <v>590</v>
      </c>
      <c r="B188" s="15" t="s">
        <v>446</v>
      </c>
      <c r="C188" s="16" t="s">
        <v>447</v>
      </c>
      <c r="D188" s="24" t="s">
        <v>569</v>
      </c>
      <c r="E188" s="25" t="s">
        <v>570</v>
      </c>
      <c r="F188" s="22" t="s">
        <v>591</v>
      </c>
      <c r="G188" s="21" t="s">
        <v>451</v>
      </c>
      <c r="H188" s="21" t="s">
        <v>572</v>
      </c>
      <c r="I188" s="21" t="s">
        <v>592</v>
      </c>
      <c r="J188" s="22"/>
      <c r="K188" s="22"/>
      <c r="L188" s="22"/>
      <c r="M188" s="22"/>
      <c r="N188" s="22"/>
      <c r="O188" s="4">
        <f t="shared" si="2"/>
        <v>1</v>
      </c>
      <c r="P188" s="5" t="str">
        <f>IFERROR(VLOOKUP(O188,Principles!$B$4:$C$7,2,FALSE()),"")</f>
        <v>Perceivable</v>
      </c>
      <c r="Q188" s="6" t="str">
        <f>IFERROR(VLOOKUP(D188,Principles!$B$12:$D$66,3,FALSE()),"")</f>
        <v>AA</v>
      </c>
      <c r="R188" s="23" t="s">
        <v>574</v>
      </c>
    </row>
    <row r="189" spans="1:18" ht="201.6">
      <c r="A189" s="14" t="s">
        <v>593</v>
      </c>
      <c r="B189" s="15" t="s">
        <v>446</v>
      </c>
      <c r="C189" s="16" t="s">
        <v>447</v>
      </c>
      <c r="D189" s="24" t="s">
        <v>569</v>
      </c>
      <c r="E189" s="25" t="s">
        <v>570</v>
      </c>
      <c r="F189" s="22" t="s">
        <v>594</v>
      </c>
      <c r="G189" s="21" t="s">
        <v>451</v>
      </c>
      <c r="H189" s="21" t="s">
        <v>572</v>
      </c>
      <c r="I189" s="21" t="s">
        <v>595</v>
      </c>
      <c r="J189" s="22"/>
      <c r="K189" s="22"/>
      <c r="L189" s="22"/>
      <c r="M189" s="22"/>
      <c r="N189" s="22"/>
      <c r="O189" s="4">
        <f t="shared" si="2"/>
        <v>1</v>
      </c>
      <c r="P189" s="5" t="str">
        <f>IFERROR(VLOOKUP(O189,Principles!$B$4:$C$7,2,FALSE()),"")</f>
        <v>Perceivable</v>
      </c>
      <c r="Q189" s="6" t="str">
        <f>IFERROR(VLOOKUP(D189,Principles!$B$12:$D$66,3,FALSE()),"")</f>
        <v>AA</v>
      </c>
      <c r="R189" s="23" t="s">
        <v>574</v>
      </c>
    </row>
    <row r="190" spans="1:18" ht="132">
      <c r="A190" s="14" t="s">
        <v>596</v>
      </c>
      <c r="B190" s="15" t="s">
        <v>446</v>
      </c>
      <c r="C190" s="16" t="s">
        <v>447</v>
      </c>
      <c r="D190" s="24" t="s">
        <v>597</v>
      </c>
      <c r="E190" s="25" t="s">
        <v>598</v>
      </c>
      <c r="F190" s="22" t="s">
        <v>599</v>
      </c>
      <c r="G190" s="21" t="s">
        <v>451</v>
      </c>
      <c r="H190" s="21" t="s">
        <v>600</v>
      </c>
      <c r="I190" s="21" t="s">
        <v>601</v>
      </c>
      <c r="J190" s="22"/>
      <c r="K190" s="22"/>
      <c r="L190" s="22"/>
      <c r="M190" s="22"/>
      <c r="N190" s="22"/>
      <c r="O190" s="4">
        <f t="shared" si="2"/>
        <v>1</v>
      </c>
      <c r="P190" s="5" t="str">
        <f>IFERROR(VLOOKUP(O190,Principles!$B$4:$C$7,2,FALSE()),"")</f>
        <v>Perceivable</v>
      </c>
      <c r="Q190" s="6" t="str">
        <f>IFERROR(VLOOKUP(D190,Principles!$B$12:$D$66,3,FALSE()),"")</f>
        <v>AA</v>
      </c>
      <c r="R190" s="23" t="s">
        <v>602</v>
      </c>
    </row>
    <row r="191" spans="1:18" ht="144">
      <c r="A191" s="14" t="s">
        <v>503</v>
      </c>
      <c r="B191" s="15" t="s">
        <v>446</v>
      </c>
      <c r="C191" s="16" t="s">
        <v>447</v>
      </c>
      <c r="D191" s="24" t="s">
        <v>597</v>
      </c>
      <c r="E191" s="25" t="s">
        <v>598</v>
      </c>
      <c r="F191" s="22" t="s">
        <v>504</v>
      </c>
      <c r="G191" s="21" t="s">
        <v>451</v>
      </c>
      <c r="H191" s="21" t="s">
        <v>600</v>
      </c>
      <c r="I191" s="21" t="s">
        <v>505</v>
      </c>
      <c r="J191" s="22"/>
      <c r="K191" s="22"/>
      <c r="L191" s="22"/>
      <c r="M191" s="22"/>
      <c r="N191" s="22"/>
      <c r="O191" s="4">
        <f t="shared" si="2"/>
        <v>1</v>
      </c>
      <c r="P191" s="5" t="str">
        <f>IFERROR(VLOOKUP(O191,Principles!$B$4:$C$7,2,FALSE()),"")</f>
        <v>Perceivable</v>
      </c>
      <c r="Q191" s="6" t="str">
        <f>IFERROR(VLOOKUP(D191,Principles!$B$12:$D$66,3,FALSE()),"")</f>
        <v>AA</v>
      </c>
      <c r="R191" s="23" t="s">
        <v>602</v>
      </c>
    </row>
    <row r="192" spans="1:18" ht="230.45">
      <c r="A192" s="14" t="s">
        <v>603</v>
      </c>
      <c r="B192" s="15" t="s">
        <v>446</v>
      </c>
      <c r="C192" s="16" t="s">
        <v>447</v>
      </c>
      <c r="D192" s="24" t="s">
        <v>597</v>
      </c>
      <c r="E192" s="25" t="s">
        <v>598</v>
      </c>
      <c r="F192" s="22" t="s">
        <v>604</v>
      </c>
      <c r="G192" s="21" t="s">
        <v>451</v>
      </c>
      <c r="H192" s="21" t="s">
        <v>600</v>
      </c>
      <c r="I192" s="21" t="s">
        <v>605</v>
      </c>
      <c r="J192" s="22"/>
      <c r="K192" s="22"/>
      <c r="L192" s="22"/>
      <c r="M192" s="22"/>
      <c r="N192" s="22"/>
      <c r="O192" s="4">
        <f t="shared" si="2"/>
        <v>1</v>
      </c>
      <c r="P192" s="5" t="str">
        <f>IFERROR(VLOOKUP(O192,Principles!$B$4:$C$7,2,FALSE()),"")</f>
        <v>Perceivable</v>
      </c>
      <c r="Q192" s="6" t="str">
        <f>IFERROR(VLOOKUP(D192,Principles!$B$12:$D$66,3,FALSE()),"")</f>
        <v>AA</v>
      </c>
      <c r="R192" s="23" t="s">
        <v>602</v>
      </c>
    </row>
    <row r="193" spans="1:18" ht="158.44999999999999">
      <c r="A193" s="14" t="s">
        <v>606</v>
      </c>
      <c r="B193" s="15" t="s">
        <v>446</v>
      </c>
      <c r="C193" s="16" t="s">
        <v>447</v>
      </c>
      <c r="D193" s="24" t="s">
        <v>597</v>
      </c>
      <c r="E193" s="25" t="s">
        <v>598</v>
      </c>
      <c r="F193" s="22" t="s">
        <v>607</v>
      </c>
      <c r="G193" s="21" t="s">
        <v>451</v>
      </c>
      <c r="H193" s="21" t="s">
        <v>600</v>
      </c>
      <c r="I193" s="21" t="s">
        <v>608</v>
      </c>
      <c r="J193" s="22"/>
      <c r="K193" s="22"/>
      <c r="L193" s="22"/>
      <c r="M193" s="22"/>
      <c r="N193" s="22"/>
      <c r="O193" s="4">
        <f t="shared" si="2"/>
        <v>1</v>
      </c>
      <c r="P193" s="5" t="str">
        <f>IFERROR(VLOOKUP(O193,Principles!$B$4:$C$7,2,FALSE()),"")</f>
        <v>Perceivable</v>
      </c>
      <c r="Q193" s="6" t="str">
        <f>IFERROR(VLOOKUP(D193,Principles!$B$12:$D$66,3,FALSE()),"")</f>
        <v>AA</v>
      </c>
      <c r="R193" s="23" t="s">
        <v>602</v>
      </c>
    </row>
    <row r="194" spans="1:18" ht="132">
      <c r="A194" s="14" t="s">
        <v>609</v>
      </c>
      <c r="B194" s="15" t="s">
        <v>446</v>
      </c>
      <c r="C194" s="16" t="s">
        <v>447</v>
      </c>
      <c r="D194" s="24" t="s">
        <v>597</v>
      </c>
      <c r="E194" s="25" t="s">
        <v>598</v>
      </c>
      <c r="F194" s="22" t="s">
        <v>610</v>
      </c>
      <c r="G194" s="21" t="s">
        <v>451</v>
      </c>
      <c r="H194" s="21" t="s">
        <v>600</v>
      </c>
      <c r="I194" s="21" t="s">
        <v>611</v>
      </c>
      <c r="J194" s="22"/>
      <c r="K194" s="22"/>
      <c r="L194" s="22"/>
      <c r="M194" s="22"/>
      <c r="N194" s="22"/>
      <c r="O194" s="4">
        <f t="shared" ref="O194:O257" si="3">IFERROR(VALUE(LEFT(D194,FIND(".",D194)-1)),"")</f>
        <v>1</v>
      </c>
      <c r="P194" s="5" t="str">
        <f>IFERROR(VLOOKUP(O194,Principles!$B$4:$C$7,2,FALSE()),"")</f>
        <v>Perceivable</v>
      </c>
      <c r="Q194" s="6" t="str">
        <f>IFERROR(VLOOKUP(D194,Principles!$B$12:$D$66,3,FALSE()),"")</f>
        <v>AA</v>
      </c>
      <c r="R194" s="23" t="s">
        <v>602</v>
      </c>
    </row>
    <row r="195" spans="1:18" ht="171.6">
      <c r="A195" s="14" t="s">
        <v>612</v>
      </c>
      <c r="B195" s="15" t="s">
        <v>446</v>
      </c>
      <c r="C195" s="16" t="s">
        <v>447</v>
      </c>
      <c r="D195" s="24" t="s">
        <v>613</v>
      </c>
      <c r="E195" s="25" t="s">
        <v>614</v>
      </c>
      <c r="F195" s="22" t="s">
        <v>615</v>
      </c>
      <c r="G195" s="21" t="s">
        <v>451</v>
      </c>
      <c r="H195" s="21" t="s">
        <v>616</v>
      </c>
      <c r="I195" s="21" t="s">
        <v>617</v>
      </c>
      <c r="J195" s="22"/>
      <c r="K195" s="22"/>
      <c r="L195" s="22"/>
      <c r="M195" s="22"/>
      <c r="N195" s="22"/>
      <c r="O195" s="4">
        <f t="shared" si="3"/>
        <v>1</v>
      </c>
      <c r="P195" s="5" t="str">
        <f>IFERROR(VLOOKUP(O195,Principles!$B$4:$C$7,2,FALSE()),"")</f>
        <v>Perceivable</v>
      </c>
      <c r="Q195" s="6" t="str">
        <f>IFERROR(VLOOKUP(D195,Principles!$B$12:$D$66,3,FALSE()),"")</f>
        <v>AA</v>
      </c>
      <c r="R195" s="23" t="s">
        <v>618</v>
      </c>
    </row>
    <row r="196" spans="1:18" ht="171.6">
      <c r="A196" s="14" t="s">
        <v>619</v>
      </c>
      <c r="B196" s="15" t="s">
        <v>446</v>
      </c>
      <c r="C196" s="16" t="s">
        <v>447</v>
      </c>
      <c r="D196" s="24" t="s">
        <v>613</v>
      </c>
      <c r="E196" s="25" t="s">
        <v>614</v>
      </c>
      <c r="F196" s="22" t="s">
        <v>620</v>
      </c>
      <c r="G196" s="21" t="s">
        <v>451</v>
      </c>
      <c r="H196" s="21" t="s">
        <v>616</v>
      </c>
      <c r="I196" s="21" t="s">
        <v>621</v>
      </c>
      <c r="J196" s="22"/>
      <c r="K196" s="22"/>
      <c r="L196" s="22"/>
      <c r="M196" s="22"/>
      <c r="N196" s="22"/>
      <c r="O196" s="4">
        <f t="shared" si="3"/>
        <v>1</v>
      </c>
      <c r="P196" s="5" t="str">
        <f>IFERROR(VLOOKUP(O196,Principles!$B$4:$C$7,2,FALSE()),"")</f>
        <v>Perceivable</v>
      </c>
      <c r="Q196" s="6" t="str">
        <f>IFERROR(VLOOKUP(D196,Principles!$B$12:$D$66,3,FALSE()),"")</f>
        <v>AA</v>
      </c>
      <c r="R196" s="23" t="s">
        <v>618</v>
      </c>
    </row>
    <row r="197" spans="1:18" ht="201.6">
      <c r="A197" s="14" t="s">
        <v>622</v>
      </c>
      <c r="B197" s="15" t="s">
        <v>446</v>
      </c>
      <c r="C197" s="16" t="s">
        <v>447</v>
      </c>
      <c r="D197" s="24" t="s">
        <v>613</v>
      </c>
      <c r="E197" s="25" t="s">
        <v>614</v>
      </c>
      <c r="F197" s="22" t="s">
        <v>623</v>
      </c>
      <c r="G197" s="21" t="s">
        <v>451</v>
      </c>
      <c r="H197" s="21" t="s">
        <v>616</v>
      </c>
      <c r="I197" s="21" t="s">
        <v>624</v>
      </c>
      <c r="J197" s="22"/>
      <c r="K197" s="22"/>
      <c r="L197" s="22"/>
      <c r="M197" s="22"/>
      <c r="N197" s="22"/>
      <c r="O197" s="4">
        <f t="shared" si="3"/>
        <v>1</v>
      </c>
      <c r="P197" s="5" t="str">
        <f>IFERROR(VLOOKUP(O197,Principles!$B$4:$C$7,2,FALSE()),"")</f>
        <v>Perceivable</v>
      </c>
      <c r="Q197" s="6" t="str">
        <f>IFERROR(VLOOKUP(D197,Principles!$B$12:$D$66,3,FALSE()),"")</f>
        <v>AA</v>
      </c>
      <c r="R197" s="23" t="s">
        <v>618</v>
      </c>
    </row>
    <row r="198" spans="1:18" ht="302.45">
      <c r="A198" s="14" t="s">
        <v>625</v>
      </c>
      <c r="B198" s="15" t="s">
        <v>446</v>
      </c>
      <c r="C198" s="16" t="s">
        <v>447</v>
      </c>
      <c r="D198" s="24" t="s">
        <v>626</v>
      </c>
      <c r="E198" s="25" t="s">
        <v>627</v>
      </c>
      <c r="F198" s="22" t="s">
        <v>628</v>
      </c>
      <c r="G198" s="21" t="s">
        <v>451</v>
      </c>
      <c r="H198" s="21" t="s">
        <v>629</v>
      </c>
      <c r="I198" s="21" t="s">
        <v>630</v>
      </c>
      <c r="J198" s="22"/>
      <c r="K198" s="22"/>
      <c r="L198" s="22"/>
      <c r="M198" s="22"/>
      <c r="N198" s="22"/>
      <c r="O198" s="4">
        <f t="shared" si="3"/>
        <v>1</v>
      </c>
      <c r="P198" s="5" t="str">
        <f>IFERROR(VLOOKUP(O198,Principles!$B$4:$C$7,2,FALSE()),"")</f>
        <v>Perceivable</v>
      </c>
      <c r="Q198" s="6" t="str">
        <f>IFERROR(VLOOKUP(D198,Principles!$B$12:$D$66,3,FALSE()),"")</f>
        <v>AA</v>
      </c>
      <c r="R198" s="23" t="s">
        <v>631</v>
      </c>
    </row>
    <row r="199" spans="1:18" ht="211.15">
      <c r="A199" s="14" t="s">
        <v>632</v>
      </c>
      <c r="B199" s="15" t="s">
        <v>446</v>
      </c>
      <c r="C199" s="16" t="s">
        <v>447</v>
      </c>
      <c r="D199" s="24" t="s">
        <v>626</v>
      </c>
      <c r="E199" s="25" t="s">
        <v>627</v>
      </c>
      <c r="F199" s="22" t="s">
        <v>633</v>
      </c>
      <c r="G199" s="21" t="s">
        <v>451</v>
      </c>
      <c r="H199" s="21" t="s">
        <v>629</v>
      </c>
      <c r="I199" s="21" t="s">
        <v>634</v>
      </c>
      <c r="J199" s="22"/>
      <c r="K199" s="22"/>
      <c r="L199" s="22"/>
      <c r="M199" s="22"/>
      <c r="N199" s="22"/>
      <c r="O199" s="4">
        <f t="shared" si="3"/>
        <v>1</v>
      </c>
      <c r="P199" s="5" t="str">
        <f>IFERROR(VLOOKUP(O199,Principles!$B$4:$C$7,2,FALSE()),"")</f>
        <v>Perceivable</v>
      </c>
      <c r="Q199" s="6" t="str">
        <f>IFERROR(VLOOKUP(D199,Principles!$B$12:$D$66,3,FALSE()),"")</f>
        <v>AA</v>
      </c>
      <c r="R199" s="23" t="s">
        <v>631</v>
      </c>
    </row>
    <row r="200" spans="1:18" ht="158.44999999999999">
      <c r="A200" s="14" t="s">
        <v>635</v>
      </c>
      <c r="B200" s="15" t="s">
        <v>636</v>
      </c>
      <c r="C200" s="16" t="s">
        <v>637</v>
      </c>
      <c r="D200" s="24" t="s">
        <v>638</v>
      </c>
      <c r="E200" s="25" t="s">
        <v>639</v>
      </c>
      <c r="F200" s="22" t="s">
        <v>640</v>
      </c>
      <c r="G200" s="21" t="s">
        <v>641</v>
      </c>
      <c r="H200" s="21" t="s">
        <v>642</v>
      </c>
      <c r="I200" s="21" t="s">
        <v>643</v>
      </c>
      <c r="J200" s="22"/>
      <c r="K200" s="22"/>
      <c r="L200" s="22"/>
      <c r="M200" s="22"/>
      <c r="N200" s="22"/>
      <c r="O200" s="4">
        <f t="shared" si="3"/>
        <v>2</v>
      </c>
      <c r="P200" s="5" t="str">
        <f>IFERROR(VLOOKUP(O200,Principles!$B$4:$C$7,2,FALSE()),"")</f>
        <v>Operable</v>
      </c>
      <c r="Q200" s="6" t="str">
        <f>IFERROR(VLOOKUP(D200,Principles!$B$12:$D$66,3,FALSE()),"")</f>
        <v>A</v>
      </c>
      <c r="R200" s="23" t="s">
        <v>644</v>
      </c>
    </row>
    <row r="201" spans="1:18" ht="158.44999999999999">
      <c r="A201" s="14" t="s">
        <v>645</v>
      </c>
      <c r="B201" s="15" t="s">
        <v>636</v>
      </c>
      <c r="C201" s="16" t="s">
        <v>637</v>
      </c>
      <c r="D201" s="24" t="s">
        <v>638</v>
      </c>
      <c r="E201" s="25" t="s">
        <v>639</v>
      </c>
      <c r="F201" s="22" t="s">
        <v>646</v>
      </c>
      <c r="G201" s="21" t="s">
        <v>641</v>
      </c>
      <c r="H201" s="21" t="s">
        <v>642</v>
      </c>
      <c r="I201" s="21" t="s">
        <v>647</v>
      </c>
      <c r="J201" s="22"/>
      <c r="K201" s="22"/>
      <c r="L201" s="22"/>
      <c r="M201" s="22"/>
      <c r="N201" s="22"/>
      <c r="O201" s="4">
        <f t="shared" si="3"/>
        <v>2</v>
      </c>
      <c r="P201" s="5" t="str">
        <f>IFERROR(VLOOKUP(O201,Principles!$B$4:$C$7,2,FALSE()),"")</f>
        <v>Operable</v>
      </c>
      <c r="Q201" s="6" t="str">
        <f>IFERROR(VLOOKUP(D201,Principles!$B$12:$D$66,3,FALSE()),"")</f>
        <v>A</v>
      </c>
      <c r="R201" s="23" t="s">
        <v>644</v>
      </c>
    </row>
    <row r="202" spans="1:18" ht="158.44999999999999">
      <c r="A202" s="14" t="s">
        <v>397</v>
      </c>
      <c r="B202" s="15" t="s">
        <v>636</v>
      </c>
      <c r="C202" s="16" t="s">
        <v>637</v>
      </c>
      <c r="D202" s="24" t="s">
        <v>638</v>
      </c>
      <c r="E202" s="25" t="s">
        <v>639</v>
      </c>
      <c r="F202" s="22" t="s">
        <v>398</v>
      </c>
      <c r="G202" s="21" t="s">
        <v>641</v>
      </c>
      <c r="H202" s="21" t="s">
        <v>642</v>
      </c>
      <c r="I202" s="21" t="s">
        <v>399</v>
      </c>
      <c r="J202" s="22"/>
      <c r="K202" s="22"/>
      <c r="L202" s="22"/>
      <c r="M202" s="22"/>
      <c r="N202" s="22"/>
      <c r="O202" s="4">
        <f t="shared" si="3"/>
        <v>2</v>
      </c>
      <c r="P202" s="5" t="str">
        <f>IFERROR(VLOOKUP(O202,Principles!$B$4:$C$7,2,FALSE()),"")</f>
        <v>Operable</v>
      </c>
      <c r="Q202" s="6" t="str">
        <f>IFERROR(VLOOKUP(D202,Principles!$B$12:$D$66,3,FALSE()),"")</f>
        <v>A</v>
      </c>
      <c r="R202" s="23" t="s">
        <v>644</v>
      </c>
    </row>
    <row r="203" spans="1:18" ht="158.44999999999999">
      <c r="A203" s="14" t="s">
        <v>321</v>
      </c>
      <c r="B203" s="15" t="s">
        <v>636</v>
      </c>
      <c r="C203" s="16" t="s">
        <v>637</v>
      </c>
      <c r="D203" s="24" t="s">
        <v>638</v>
      </c>
      <c r="E203" s="25" t="s">
        <v>639</v>
      </c>
      <c r="F203" s="22" t="s">
        <v>322</v>
      </c>
      <c r="G203" s="21" t="s">
        <v>641</v>
      </c>
      <c r="H203" s="21" t="s">
        <v>642</v>
      </c>
      <c r="I203" s="21" t="s">
        <v>323</v>
      </c>
      <c r="J203" s="22"/>
      <c r="K203" s="22"/>
      <c r="L203" s="22"/>
      <c r="M203" s="22"/>
      <c r="N203" s="22"/>
      <c r="O203" s="4">
        <f t="shared" si="3"/>
        <v>2</v>
      </c>
      <c r="P203" s="5" t="str">
        <f>IFERROR(VLOOKUP(O203,Principles!$B$4:$C$7,2,FALSE()),"")</f>
        <v>Operable</v>
      </c>
      <c r="Q203" s="6" t="str">
        <f>IFERROR(VLOOKUP(D203,Principles!$B$12:$D$66,3,FALSE()),"")</f>
        <v>A</v>
      </c>
      <c r="R203" s="23" t="s">
        <v>644</v>
      </c>
    </row>
    <row r="204" spans="1:18" ht="158.44999999999999">
      <c r="A204" s="14" t="s">
        <v>648</v>
      </c>
      <c r="B204" s="15" t="s">
        <v>636</v>
      </c>
      <c r="C204" s="16" t="s">
        <v>637</v>
      </c>
      <c r="D204" s="24" t="s">
        <v>638</v>
      </c>
      <c r="E204" s="25" t="s">
        <v>639</v>
      </c>
      <c r="F204" s="22" t="s">
        <v>649</v>
      </c>
      <c r="G204" s="21" t="s">
        <v>641</v>
      </c>
      <c r="H204" s="21" t="s">
        <v>642</v>
      </c>
      <c r="I204" s="21" t="s">
        <v>650</v>
      </c>
      <c r="J204" s="22"/>
      <c r="K204" s="22"/>
      <c r="L204" s="22"/>
      <c r="M204" s="22"/>
      <c r="N204" s="22"/>
      <c r="O204" s="4">
        <f t="shared" si="3"/>
        <v>2</v>
      </c>
      <c r="P204" s="5" t="str">
        <f>IFERROR(VLOOKUP(O204,Principles!$B$4:$C$7,2,FALSE()),"")</f>
        <v>Operable</v>
      </c>
      <c r="Q204" s="6" t="str">
        <f>IFERROR(VLOOKUP(D204,Principles!$B$12:$D$66,3,FALSE()),"")</f>
        <v>A</v>
      </c>
      <c r="R204" s="23" t="s">
        <v>644</v>
      </c>
    </row>
    <row r="205" spans="1:18" ht="158.44999999999999">
      <c r="A205" s="14" t="s">
        <v>651</v>
      </c>
      <c r="B205" s="15" t="s">
        <v>636</v>
      </c>
      <c r="C205" s="16" t="s">
        <v>637</v>
      </c>
      <c r="D205" s="24" t="s">
        <v>638</v>
      </c>
      <c r="E205" s="25" t="s">
        <v>639</v>
      </c>
      <c r="F205" s="22" t="s">
        <v>652</v>
      </c>
      <c r="G205" s="21" t="s">
        <v>641</v>
      </c>
      <c r="H205" s="21" t="s">
        <v>642</v>
      </c>
      <c r="I205" s="21" t="s">
        <v>653</v>
      </c>
      <c r="J205" s="22"/>
      <c r="K205" s="22"/>
      <c r="L205" s="22"/>
      <c r="M205" s="22"/>
      <c r="N205" s="22"/>
      <c r="O205" s="4">
        <f t="shared" si="3"/>
        <v>2</v>
      </c>
      <c r="P205" s="5" t="str">
        <f>IFERROR(VLOOKUP(O205,Principles!$B$4:$C$7,2,FALSE()),"")</f>
        <v>Operable</v>
      </c>
      <c r="Q205" s="6" t="str">
        <f>IFERROR(VLOOKUP(D205,Principles!$B$12:$D$66,3,FALSE()),"")</f>
        <v>A</v>
      </c>
      <c r="R205" s="23" t="s">
        <v>644</v>
      </c>
    </row>
    <row r="206" spans="1:18" ht="158.44999999999999">
      <c r="A206" s="14" t="s">
        <v>654</v>
      </c>
      <c r="B206" s="15" t="s">
        <v>636</v>
      </c>
      <c r="C206" s="16" t="s">
        <v>637</v>
      </c>
      <c r="D206" s="24" t="s">
        <v>638</v>
      </c>
      <c r="E206" s="25" t="s">
        <v>639</v>
      </c>
      <c r="F206" s="22" t="s">
        <v>655</v>
      </c>
      <c r="G206" s="21" t="s">
        <v>641</v>
      </c>
      <c r="H206" s="21" t="s">
        <v>642</v>
      </c>
      <c r="I206" s="21" t="s">
        <v>656</v>
      </c>
      <c r="J206" s="22"/>
      <c r="K206" s="22"/>
      <c r="L206" s="22"/>
      <c r="M206" s="22"/>
      <c r="N206" s="22"/>
      <c r="O206" s="4">
        <f t="shared" si="3"/>
        <v>2</v>
      </c>
      <c r="P206" s="5" t="str">
        <f>IFERROR(VLOOKUP(O206,Principles!$B$4:$C$7,2,FALSE()),"")</f>
        <v>Operable</v>
      </c>
      <c r="Q206" s="6" t="str">
        <f>IFERROR(VLOOKUP(D206,Principles!$B$12:$D$66,3,FALSE()),"")</f>
        <v>A</v>
      </c>
      <c r="R206" s="23" t="s">
        <v>644</v>
      </c>
    </row>
    <row r="207" spans="1:18" ht="388.9">
      <c r="A207" s="14" t="s">
        <v>657</v>
      </c>
      <c r="B207" s="15" t="s">
        <v>636</v>
      </c>
      <c r="C207" s="16" t="s">
        <v>637</v>
      </c>
      <c r="D207" s="24" t="s">
        <v>638</v>
      </c>
      <c r="E207" s="25" t="s">
        <v>639</v>
      </c>
      <c r="F207" s="22" t="s">
        <v>658</v>
      </c>
      <c r="G207" s="21" t="s">
        <v>641</v>
      </c>
      <c r="H207" s="21" t="s">
        <v>642</v>
      </c>
      <c r="I207" s="21" t="s">
        <v>659</v>
      </c>
      <c r="J207" s="22"/>
      <c r="K207" s="22"/>
      <c r="L207" s="22"/>
      <c r="M207" s="22"/>
      <c r="N207" s="22"/>
      <c r="O207" s="4">
        <f t="shared" si="3"/>
        <v>2</v>
      </c>
      <c r="P207" s="5" t="str">
        <f>IFERROR(VLOOKUP(O207,Principles!$B$4:$C$7,2,FALSE()),"")</f>
        <v>Operable</v>
      </c>
      <c r="Q207" s="6" t="str">
        <f>IFERROR(VLOOKUP(D207,Principles!$B$12:$D$66,3,FALSE()),"")</f>
        <v>A</v>
      </c>
      <c r="R207" s="23" t="s">
        <v>644</v>
      </c>
    </row>
    <row r="208" spans="1:18" ht="158.44999999999999">
      <c r="A208" s="14" t="s">
        <v>660</v>
      </c>
      <c r="B208" s="15" t="s">
        <v>636</v>
      </c>
      <c r="C208" s="16" t="s">
        <v>637</v>
      </c>
      <c r="D208" s="24" t="s">
        <v>638</v>
      </c>
      <c r="E208" s="25" t="s">
        <v>639</v>
      </c>
      <c r="F208" s="22" t="s">
        <v>661</v>
      </c>
      <c r="G208" s="21" t="s">
        <v>641</v>
      </c>
      <c r="H208" s="21" t="s">
        <v>642</v>
      </c>
      <c r="I208" s="21" t="s">
        <v>662</v>
      </c>
      <c r="J208" s="22"/>
      <c r="K208" s="22"/>
      <c r="L208" s="22"/>
      <c r="M208" s="22"/>
      <c r="N208" s="22"/>
      <c r="O208" s="4">
        <f t="shared" si="3"/>
        <v>2</v>
      </c>
      <c r="P208" s="5" t="str">
        <f>IFERROR(VLOOKUP(O208,Principles!$B$4:$C$7,2,FALSE()),"")</f>
        <v>Operable</v>
      </c>
      <c r="Q208" s="6" t="str">
        <f>IFERROR(VLOOKUP(D208,Principles!$B$12:$D$66,3,FALSE()),"")</f>
        <v>A</v>
      </c>
      <c r="R208" s="23" t="s">
        <v>644</v>
      </c>
    </row>
    <row r="209" spans="1:18" ht="158.44999999999999">
      <c r="A209" s="14" t="s">
        <v>663</v>
      </c>
      <c r="B209" s="15" t="s">
        <v>636</v>
      </c>
      <c r="C209" s="16" t="s">
        <v>637</v>
      </c>
      <c r="D209" s="24" t="s">
        <v>638</v>
      </c>
      <c r="E209" s="25" t="s">
        <v>639</v>
      </c>
      <c r="F209" s="22" t="s">
        <v>664</v>
      </c>
      <c r="G209" s="21" t="s">
        <v>641</v>
      </c>
      <c r="H209" s="21" t="s">
        <v>642</v>
      </c>
      <c r="I209" s="21" t="s">
        <v>665</v>
      </c>
      <c r="J209" s="22"/>
      <c r="K209" s="22"/>
      <c r="L209" s="22"/>
      <c r="M209" s="22"/>
      <c r="N209" s="22"/>
      <c r="O209" s="4">
        <f t="shared" si="3"/>
        <v>2</v>
      </c>
      <c r="P209" s="5" t="str">
        <f>IFERROR(VLOOKUP(O209,Principles!$B$4:$C$7,2,FALSE()),"")</f>
        <v>Operable</v>
      </c>
      <c r="Q209" s="6" t="str">
        <f>IFERROR(VLOOKUP(D209,Principles!$B$12:$D$66,3,FALSE()),"")</f>
        <v>A</v>
      </c>
      <c r="R209" s="23" t="s">
        <v>644</v>
      </c>
    </row>
    <row r="210" spans="1:18" ht="158.44999999999999">
      <c r="A210" s="14" t="s">
        <v>666</v>
      </c>
      <c r="B210" s="15" t="s">
        <v>636</v>
      </c>
      <c r="C210" s="16" t="s">
        <v>637</v>
      </c>
      <c r="D210" s="24" t="s">
        <v>638</v>
      </c>
      <c r="E210" s="25" t="s">
        <v>639</v>
      </c>
      <c r="F210" s="22" t="s">
        <v>667</v>
      </c>
      <c r="G210" s="21" t="s">
        <v>641</v>
      </c>
      <c r="H210" s="21" t="s">
        <v>642</v>
      </c>
      <c r="I210" s="21" t="s">
        <v>668</v>
      </c>
      <c r="J210" s="22"/>
      <c r="K210" s="22"/>
      <c r="L210" s="22"/>
      <c r="M210" s="22"/>
      <c r="N210" s="22"/>
      <c r="O210" s="4">
        <f t="shared" si="3"/>
        <v>2</v>
      </c>
      <c r="P210" s="5" t="str">
        <f>IFERROR(VLOOKUP(O210,Principles!$B$4:$C$7,2,FALSE()),"")</f>
        <v>Operable</v>
      </c>
      <c r="Q210" s="6" t="str">
        <f>IFERROR(VLOOKUP(D210,Principles!$B$12:$D$66,3,FALSE()),"")</f>
        <v>A</v>
      </c>
      <c r="R210" s="23" t="s">
        <v>644</v>
      </c>
    </row>
    <row r="211" spans="1:18" ht="158.44999999999999">
      <c r="A211" s="14" t="s">
        <v>351</v>
      </c>
      <c r="B211" s="15" t="s">
        <v>636</v>
      </c>
      <c r="C211" s="16" t="s">
        <v>637</v>
      </c>
      <c r="D211" s="24" t="s">
        <v>638</v>
      </c>
      <c r="E211" s="25" t="s">
        <v>639</v>
      </c>
      <c r="F211" s="22" t="s">
        <v>352</v>
      </c>
      <c r="G211" s="21" t="s">
        <v>641</v>
      </c>
      <c r="H211" s="21" t="s">
        <v>642</v>
      </c>
      <c r="I211" s="21" t="s">
        <v>353</v>
      </c>
      <c r="J211" s="22"/>
      <c r="K211" s="22"/>
      <c r="L211" s="22"/>
      <c r="M211" s="22"/>
      <c r="N211" s="22"/>
      <c r="O211" s="4">
        <f t="shared" si="3"/>
        <v>2</v>
      </c>
      <c r="P211" s="5" t="str">
        <f>IFERROR(VLOOKUP(O211,Principles!$B$4:$C$7,2,FALSE()),"")</f>
        <v>Operable</v>
      </c>
      <c r="Q211" s="6" t="str">
        <f>IFERROR(VLOOKUP(D211,Principles!$B$12:$D$66,3,FALSE()),"")</f>
        <v>A</v>
      </c>
      <c r="R211" s="23" t="s">
        <v>644</v>
      </c>
    </row>
    <row r="212" spans="1:18" ht="158.44999999999999">
      <c r="A212" s="14" t="s">
        <v>669</v>
      </c>
      <c r="B212" s="15" t="s">
        <v>636</v>
      </c>
      <c r="C212" s="16" t="s">
        <v>637</v>
      </c>
      <c r="D212" s="24" t="s">
        <v>670</v>
      </c>
      <c r="E212" s="25" t="s">
        <v>671</v>
      </c>
      <c r="F212" s="22" t="s">
        <v>672</v>
      </c>
      <c r="G212" s="21" t="s">
        <v>641</v>
      </c>
      <c r="H212" s="21" t="s">
        <v>673</v>
      </c>
      <c r="I212" s="21" t="s">
        <v>674</v>
      </c>
      <c r="J212" s="22"/>
      <c r="K212" s="22"/>
      <c r="L212" s="22"/>
      <c r="M212" s="22"/>
      <c r="N212" s="22"/>
      <c r="O212" s="4">
        <f t="shared" si="3"/>
        <v>2</v>
      </c>
      <c r="P212" s="5" t="str">
        <f>IFERROR(VLOOKUP(O212,Principles!$B$4:$C$7,2,FALSE()),"")</f>
        <v>Operable</v>
      </c>
      <c r="Q212" s="6" t="str">
        <f>IFERROR(VLOOKUP(D212,Principles!$B$12:$D$66,3,FALSE()),"")</f>
        <v>A</v>
      </c>
      <c r="R212" s="23" t="s">
        <v>675</v>
      </c>
    </row>
    <row r="213" spans="1:18" ht="158.44999999999999">
      <c r="A213" s="14" t="s">
        <v>676</v>
      </c>
      <c r="B213" s="15" t="s">
        <v>636</v>
      </c>
      <c r="C213" s="16" t="s">
        <v>637</v>
      </c>
      <c r="D213" s="24" t="s">
        <v>670</v>
      </c>
      <c r="E213" s="25" t="s">
        <v>671</v>
      </c>
      <c r="F213" s="22" t="s">
        <v>677</v>
      </c>
      <c r="G213" s="21" t="s">
        <v>641</v>
      </c>
      <c r="H213" s="21" t="s">
        <v>673</v>
      </c>
      <c r="I213" s="21" t="s">
        <v>678</v>
      </c>
      <c r="J213" s="22"/>
      <c r="K213" s="22"/>
      <c r="L213" s="22"/>
      <c r="M213" s="22"/>
      <c r="N213" s="22"/>
      <c r="O213" s="4">
        <f t="shared" si="3"/>
        <v>2</v>
      </c>
      <c r="P213" s="5" t="str">
        <f>IFERROR(VLOOKUP(O213,Principles!$B$4:$C$7,2,FALSE()),"")</f>
        <v>Operable</v>
      </c>
      <c r="Q213" s="6" t="str">
        <f>IFERROR(VLOOKUP(D213,Principles!$B$12:$D$66,3,FALSE()),"")</f>
        <v>A</v>
      </c>
      <c r="R213" s="23" t="s">
        <v>675</v>
      </c>
    </row>
    <row r="214" spans="1:18" ht="132">
      <c r="A214" s="14" t="s">
        <v>679</v>
      </c>
      <c r="B214" s="15" t="s">
        <v>636</v>
      </c>
      <c r="C214" s="16" t="s">
        <v>637</v>
      </c>
      <c r="D214" s="24" t="s">
        <v>680</v>
      </c>
      <c r="E214" s="25" t="s">
        <v>681</v>
      </c>
      <c r="F214" s="22" t="s">
        <v>682</v>
      </c>
      <c r="G214" s="21" t="s">
        <v>641</v>
      </c>
      <c r="H214" s="21" t="s">
        <v>683</v>
      </c>
      <c r="I214" s="21" t="s">
        <v>684</v>
      </c>
      <c r="J214" s="22"/>
      <c r="K214" s="22"/>
      <c r="L214" s="22"/>
      <c r="M214" s="22"/>
      <c r="N214" s="22"/>
      <c r="O214" s="4">
        <f t="shared" si="3"/>
        <v>2</v>
      </c>
      <c r="P214" s="5" t="str">
        <f>IFERROR(VLOOKUP(O214,Principles!$B$4:$C$7,2,FALSE()),"")</f>
        <v>Operable</v>
      </c>
      <c r="Q214" s="6" t="str">
        <f>IFERROR(VLOOKUP(D214,Principles!$B$12:$D$66,3,FALSE()),"")</f>
        <v>A</v>
      </c>
      <c r="R214" s="23" t="s">
        <v>685</v>
      </c>
    </row>
    <row r="215" spans="1:18" ht="259.14999999999998">
      <c r="A215" s="14" t="s">
        <v>686</v>
      </c>
      <c r="B215" s="15" t="s">
        <v>636</v>
      </c>
      <c r="C215" s="16" t="s">
        <v>637</v>
      </c>
      <c r="D215" s="24" t="s">
        <v>680</v>
      </c>
      <c r="E215" s="25" t="s">
        <v>681</v>
      </c>
      <c r="F215" s="22" t="s">
        <v>687</v>
      </c>
      <c r="G215" s="21" t="s">
        <v>641</v>
      </c>
      <c r="H215" s="21" t="s">
        <v>683</v>
      </c>
      <c r="I215" s="21" t="s">
        <v>688</v>
      </c>
      <c r="J215" s="22"/>
      <c r="K215" s="22"/>
      <c r="L215" s="22"/>
      <c r="M215" s="22"/>
      <c r="N215" s="22"/>
      <c r="O215" s="4">
        <f t="shared" si="3"/>
        <v>2</v>
      </c>
      <c r="P215" s="5" t="str">
        <f>IFERROR(VLOOKUP(O215,Principles!$B$4:$C$7,2,FALSE()),"")</f>
        <v>Operable</v>
      </c>
      <c r="Q215" s="6" t="str">
        <f>IFERROR(VLOOKUP(D215,Principles!$B$12:$D$66,3,FALSE()),"")</f>
        <v>A</v>
      </c>
      <c r="R215" s="23" t="s">
        <v>685</v>
      </c>
    </row>
    <row r="216" spans="1:18" ht="211.15">
      <c r="A216" s="14" t="s">
        <v>689</v>
      </c>
      <c r="B216" s="15" t="s">
        <v>690</v>
      </c>
      <c r="C216" s="16" t="s">
        <v>691</v>
      </c>
      <c r="D216" s="24" t="s">
        <v>692</v>
      </c>
      <c r="E216" s="25" t="s">
        <v>693</v>
      </c>
      <c r="F216" s="22" t="s">
        <v>694</v>
      </c>
      <c r="G216" s="21" t="s">
        <v>695</v>
      </c>
      <c r="H216" s="21" t="s">
        <v>696</v>
      </c>
      <c r="I216" s="21" t="s">
        <v>697</v>
      </c>
      <c r="J216" s="22"/>
      <c r="K216" s="22"/>
      <c r="L216" s="22"/>
      <c r="M216" s="22"/>
      <c r="N216" s="22"/>
      <c r="O216" s="4">
        <f t="shared" si="3"/>
        <v>2</v>
      </c>
      <c r="P216" s="5" t="str">
        <f>IFERROR(VLOOKUP(O216,Principles!$B$4:$C$7,2,FALSE()),"")</f>
        <v>Operable</v>
      </c>
      <c r="Q216" s="6" t="str">
        <f>IFERROR(VLOOKUP(D216,Principles!$B$12:$D$66,3,FALSE()),"")</f>
        <v>A</v>
      </c>
      <c r="R216" s="23" t="s">
        <v>698</v>
      </c>
    </row>
    <row r="217" spans="1:18" ht="211.15">
      <c r="A217" s="14" t="s">
        <v>699</v>
      </c>
      <c r="B217" s="15" t="s">
        <v>690</v>
      </c>
      <c r="C217" s="16" t="s">
        <v>691</v>
      </c>
      <c r="D217" s="24" t="s">
        <v>692</v>
      </c>
      <c r="E217" s="25" t="s">
        <v>693</v>
      </c>
      <c r="F217" s="22" t="s">
        <v>700</v>
      </c>
      <c r="G217" s="21" t="s">
        <v>695</v>
      </c>
      <c r="H217" s="21" t="s">
        <v>696</v>
      </c>
      <c r="I217" s="21" t="s">
        <v>701</v>
      </c>
      <c r="J217" s="22"/>
      <c r="K217" s="22"/>
      <c r="L217" s="22"/>
      <c r="M217" s="22"/>
      <c r="N217" s="22"/>
      <c r="O217" s="4">
        <f t="shared" si="3"/>
        <v>2</v>
      </c>
      <c r="P217" s="5" t="str">
        <f>IFERROR(VLOOKUP(O217,Principles!$B$4:$C$7,2,FALSE()),"")</f>
        <v>Operable</v>
      </c>
      <c r="Q217" s="6" t="str">
        <f>IFERROR(VLOOKUP(D217,Principles!$B$12:$D$66,3,FALSE()),"")</f>
        <v>A</v>
      </c>
      <c r="R217" s="23" t="s">
        <v>698</v>
      </c>
    </row>
    <row r="218" spans="1:18" ht="211.15">
      <c r="A218" s="14" t="s">
        <v>702</v>
      </c>
      <c r="B218" s="15" t="s">
        <v>690</v>
      </c>
      <c r="C218" s="16" t="s">
        <v>691</v>
      </c>
      <c r="D218" s="24" t="s">
        <v>692</v>
      </c>
      <c r="E218" s="25" t="s">
        <v>693</v>
      </c>
      <c r="F218" s="22" t="s">
        <v>703</v>
      </c>
      <c r="G218" s="21" t="s">
        <v>695</v>
      </c>
      <c r="H218" s="21" t="s">
        <v>696</v>
      </c>
      <c r="I218" s="21" t="s">
        <v>704</v>
      </c>
      <c r="J218" s="22"/>
      <c r="K218" s="22"/>
      <c r="L218" s="22"/>
      <c r="M218" s="22"/>
      <c r="N218" s="22"/>
      <c r="O218" s="4">
        <f t="shared" si="3"/>
        <v>2</v>
      </c>
      <c r="P218" s="5" t="str">
        <f>IFERROR(VLOOKUP(O218,Principles!$B$4:$C$7,2,FALSE()),"")</f>
        <v>Operable</v>
      </c>
      <c r="Q218" s="6" t="str">
        <f>IFERROR(VLOOKUP(D218,Principles!$B$12:$D$66,3,FALSE()),"")</f>
        <v>A</v>
      </c>
      <c r="R218" s="23" t="s">
        <v>698</v>
      </c>
    </row>
    <row r="219" spans="1:18" ht="211.15">
      <c r="A219" s="14" t="s">
        <v>705</v>
      </c>
      <c r="B219" s="15" t="s">
        <v>690</v>
      </c>
      <c r="C219" s="16" t="s">
        <v>691</v>
      </c>
      <c r="D219" s="24" t="s">
        <v>692</v>
      </c>
      <c r="E219" s="25" t="s">
        <v>693</v>
      </c>
      <c r="F219" s="22" t="s">
        <v>706</v>
      </c>
      <c r="G219" s="21" t="s">
        <v>695</v>
      </c>
      <c r="H219" s="21" t="s">
        <v>696</v>
      </c>
      <c r="I219" s="21" t="s">
        <v>707</v>
      </c>
      <c r="J219" s="22"/>
      <c r="K219" s="22"/>
      <c r="L219" s="22"/>
      <c r="M219" s="22"/>
      <c r="N219" s="22"/>
      <c r="O219" s="4">
        <f t="shared" si="3"/>
        <v>2</v>
      </c>
      <c r="P219" s="5" t="str">
        <f>IFERROR(VLOOKUP(O219,Principles!$B$4:$C$7,2,FALSE()),"")</f>
        <v>Operable</v>
      </c>
      <c r="Q219" s="6" t="str">
        <f>IFERROR(VLOOKUP(D219,Principles!$B$12:$D$66,3,FALSE()),"")</f>
        <v>A</v>
      </c>
      <c r="R219" s="23" t="s">
        <v>698</v>
      </c>
    </row>
    <row r="220" spans="1:18" ht="211.15">
      <c r="A220" s="14" t="s">
        <v>708</v>
      </c>
      <c r="B220" s="15" t="s">
        <v>690</v>
      </c>
      <c r="C220" s="16" t="s">
        <v>691</v>
      </c>
      <c r="D220" s="24" t="s">
        <v>692</v>
      </c>
      <c r="E220" s="25" t="s">
        <v>693</v>
      </c>
      <c r="F220" s="22" t="s">
        <v>709</v>
      </c>
      <c r="G220" s="21" t="s">
        <v>695</v>
      </c>
      <c r="H220" s="21" t="s">
        <v>696</v>
      </c>
      <c r="I220" s="21" t="s">
        <v>710</v>
      </c>
      <c r="J220" s="22"/>
      <c r="K220" s="22"/>
      <c r="L220" s="22"/>
      <c r="M220" s="22"/>
      <c r="N220" s="22"/>
      <c r="O220" s="4">
        <f t="shared" si="3"/>
        <v>2</v>
      </c>
      <c r="P220" s="5" t="str">
        <f>IFERROR(VLOOKUP(O220,Principles!$B$4:$C$7,2,FALSE()),"")</f>
        <v>Operable</v>
      </c>
      <c r="Q220" s="6" t="str">
        <f>IFERROR(VLOOKUP(D220,Principles!$B$12:$D$66,3,FALSE()),"")</f>
        <v>A</v>
      </c>
      <c r="R220" s="23" t="s">
        <v>698</v>
      </c>
    </row>
    <row r="221" spans="1:18" ht="211.15">
      <c r="A221" s="14" t="s">
        <v>711</v>
      </c>
      <c r="B221" s="15" t="s">
        <v>690</v>
      </c>
      <c r="C221" s="16" t="s">
        <v>691</v>
      </c>
      <c r="D221" s="24" t="s">
        <v>692</v>
      </c>
      <c r="E221" s="25" t="s">
        <v>693</v>
      </c>
      <c r="F221" s="22" t="s">
        <v>712</v>
      </c>
      <c r="G221" s="21" t="s">
        <v>695</v>
      </c>
      <c r="H221" s="21" t="s">
        <v>696</v>
      </c>
      <c r="I221" s="21" t="s">
        <v>713</v>
      </c>
      <c r="J221" s="22"/>
      <c r="K221" s="22"/>
      <c r="L221" s="22"/>
      <c r="M221" s="22"/>
      <c r="N221" s="22"/>
      <c r="O221" s="4">
        <f t="shared" si="3"/>
        <v>2</v>
      </c>
      <c r="P221" s="5" t="str">
        <f>IFERROR(VLOOKUP(O221,Principles!$B$4:$C$7,2,FALSE()),"")</f>
        <v>Operable</v>
      </c>
      <c r="Q221" s="6" t="str">
        <f>IFERROR(VLOOKUP(D221,Principles!$B$12:$D$66,3,FALSE()),"")</f>
        <v>A</v>
      </c>
      <c r="R221" s="23" t="s">
        <v>698</v>
      </c>
    </row>
    <row r="222" spans="1:18" ht="216">
      <c r="A222" s="14" t="s">
        <v>714</v>
      </c>
      <c r="B222" s="15" t="s">
        <v>690</v>
      </c>
      <c r="C222" s="16" t="s">
        <v>691</v>
      </c>
      <c r="D222" s="24" t="s">
        <v>692</v>
      </c>
      <c r="E222" s="25" t="s">
        <v>693</v>
      </c>
      <c r="F222" s="22" t="s">
        <v>715</v>
      </c>
      <c r="G222" s="21" t="s">
        <v>695</v>
      </c>
      <c r="H222" s="21" t="s">
        <v>696</v>
      </c>
      <c r="I222" s="21" t="s">
        <v>716</v>
      </c>
      <c r="J222" s="22"/>
      <c r="K222" s="22"/>
      <c r="L222" s="22"/>
      <c r="M222" s="22"/>
      <c r="N222" s="22"/>
      <c r="O222" s="4">
        <f t="shared" si="3"/>
        <v>2</v>
      </c>
      <c r="P222" s="5" t="str">
        <f>IFERROR(VLOOKUP(O222,Principles!$B$4:$C$7,2,FALSE()),"")</f>
        <v>Operable</v>
      </c>
      <c r="Q222" s="6" t="str">
        <f>IFERROR(VLOOKUP(D222,Principles!$B$12:$D$66,3,FALSE()),"")</f>
        <v>A</v>
      </c>
      <c r="R222" s="23" t="s">
        <v>698</v>
      </c>
    </row>
    <row r="223" spans="1:18" ht="230.45">
      <c r="A223" s="14" t="s">
        <v>717</v>
      </c>
      <c r="B223" s="15" t="s">
        <v>690</v>
      </c>
      <c r="C223" s="16" t="s">
        <v>691</v>
      </c>
      <c r="D223" s="24" t="s">
        <v>692</v>
      </c>
      <c r="E223" s="25" t="s">
        <v>693</v>
      </c>
      <c r="F223" s="22" t="s">
        <v>718</v>
      </c>
      <c r="G223" s="21" t="s">
        <v>695</v>
      </c>
      <c r="H223" s="21" t="s">
        <v>696</v>
      </c>
      <c r="I223" s="21" t="s">
        <v>719</v>
      </c>
      <c r="J223" s="22"/>
      <c r="K223" s="22"/>
      <c r="L223" s="22"/>
      <c r="M223" s="22"/>
      <c r="N223" s="22"/>
      <c r="O223" s="4">
        <f t="shared" si="3"/>
        <v>2</v>
      </c>
      <c r="P223" s="5" t="str">
        <f>IFERROR(VLOOKUP(O223,Principles!$B$4:$C$7,2,FALSE()),"")</f>
        <v>Operable</v>
      </c>
      <c r="Q223" s="6" t="str">
        <f>IFERROR(VLOOKUP(D223,Principles!$B$12:$D$66,3,FALSE()),"")</f>
        <v>A</v>
      </c>
      <c r="R223" s="23" t="s">
        <v>698</v>
      </c>
    </row>
    <row r="224" spans="1:18" ht="216">
      <c r="A224" s="14" t="s">
        <v>720</v>
      </c>
      <c r="B224" s="15" t="s">
        <v>690</v>
      </c>
      <c r="C224" s="16" t="s">
        <v>691</v>
      </c>
      <c r="D224" s="24" t="s">
        <v>692</v>
      </c>
      <c r="E224" s="25" t="s">
        <v>693</v>
      </c>
      <c r="F224" s="22" t="s">
        <v>721</v>
      </c>
      <c r="G224" s="21" t="s">
        <v>695</v>
      </c>
      <c r="H224" s="21" t="s">
        <v>696</v>
      </c>
      <c r="I224" s="21" t="s">
        <v>722</v>
      </c>
      <c r="J224" s="22"/>
      <c r="K224" s="22"/>
      <c r="L224" s="22"/>
      <c r="M224" s="22"/>
      <c r="N224" s="22"/>
      <c r="O224" s="4">
        <f t="shared" si="3"/>
        <v>2</v>
      </c>
      <c r="P224" s="5" t="str">
        <f>IFERROR(VLOOKUP(O224,Principles!$B$4:$C$7,2,FALSE()),"")</f>
        <v>Operable</v>
      </c>
      <c r="Q224" s="6" t="str">
        <f>IFERROR(VLOOKUP(D224,Principles!$B$12:$D$66,3,FALSE()),"")</f>
        <v>A</v>
      </c>
      <c r="R224" s="23" t="s">
        <v>698</v>
      </c>
    </row>
    <row r="225" spans="1:18" ht="230.45">
      <c r="A225" s="14" t="s">
        <v>723</v>
      </c>
      <c r="B225" s="15" t="s">
        <v>690</v>
      </c>
      <c r="C225" s="16" t="s">
        <v>691</v>
      </c>
      <c r="D225" s="24" t="s">
        <v>692</v>
      </c>
      <c r="E225" s="25" t="s">
        <v>693</v>
      </c>
      <c r="F225" s="22" t="s">
        <v>724</v>
      </c>
      <c r="G225" s="21" t="s">
        <v>695</v>
      </c>
      <c r="H225" s="21" t="s">
        <v>696</v>
      </c>
      <c r="I225" s="21" t="s">
        <v>725</v>
      </c>
      <c r="J225" s="22"/>
      <c r="K225" s="22"/>
      <c r="L225" s="22"/>
      <c r="M225" s="22"/>
      <c r="N225" s="22"/>
      <c r="O225" s="4">
        <f t="shared" si="3"/>
        <v>2</v>
      </c>
      <c r="P225" s="5" t="str">
        <f>IFERROR(VLOOKUP(O225,Principles!$B$4:$C$7,2,FALSE()),"")</f>
        <v>Operable</v>
      </c>
      <c r="Q225" s="6" t="str">
        <f>IFERROR(VLOOKUP(D225,Principles!$B$12:$D$66,3,FALSE()),"")</f>
        <v>A</v>
      </c>
      <c r="R225" s="23" t="s">
        <v>698</v>
      </c>
    </row>
    <row r="226" spans="1:18" ht="211.15">
      <c r="A226" s="14" t="s">
        <v>726</v>
      </c>
      <c r="B226" s="15" t="s">
        <v>690</v>
      </c>
      <c r="C226" s="16" t="s">
        <v>691</v>
      </c>
      <c r="D226" s="24" t="s">
        <v>692</v>
      </c>
      <c r="E226" s="25" t="s">
        <v>693</v>
      </c>
      <c r="F226" s="22" t="s">
        <v>727</v>
      </c>
      <c r="G226" s="21" t="s">
        <v>695</v>
      </c>
      <c r="H226" s="21" t="s">
        <v>696</v>
      </c>
      <c r="I226" s="21" t="s">
        <v>728</v>
      </c>
      <c r="J226" s="22"/>
      <c r="K226" s="22"/>
      <c r="L226" s="22"/>
      <c r="M226" s="22"/>
      <c r="N226" s="22"/>
      <c r="O226" s="4">
        <f t="shared" si="3"/>
        <v>2</v>
      </c>
      <c r="P226" s="5" t="str">
        <f>IFERROR(VLOOKUP(O226,Principles!$B$4:$C$7,2,FALSE()),"")</f>
        <v>Operable</v>
      </c>
      <c r="Q226" s="6" t="str">
        <f>IFERROR(VLOOKUP(D226,Principles!$B$12:$D$66,3,FALSE()),"")</f>
        <v>A</v>
      </c>
      <c r="R226" s="23" t="s">
        <v>698</v>
      </c>
    </row>
    <row r="227" spans="1:18" ht="184.9">
      <c r="A227" s="14" t="s">
        <v>711</v>
      </c>
      <c r="B227" s="15" t="s">
        <v>690</v>
      </c>
      <c r="C227" s="16" t="s">
        <v>691</v>
      </c>
      <c r="D227" s="24" t="s">
        <v>729</v>
      </c>
      <c r="E227" s="25" t="s">
        <v>730</v>
      </c>
      <c r="F227" s="22" t="s">
        <v>712</v>
      </c>
      <c r="G227" s="21" t="s">
        <v>695</v>
      </c>
      <c r="H227" s="21" t="s">
        <v>731</v>
      </c>
      <c r="I227" s="21" t="s">
        <v>713</v>
      </c>
      <c r="J227" s="22"/>
      <c r="K227" s="22"/>
      <c r="L227" s="22"/>
      <c r="M227" s="22"/>
      <c r="N227" s="22"/>
      <c r="O227" s="4">
        <f t="shared" si="3"/>
        <v>2</v>
      </c>
      <c r="P227" s="5" t="str">
        <f>IFERROR(VLOOKUP(O227,Principles!$B$4:$C$7,2,FALSE()),"")</f>
        <v>Operable</v>
      </c>
      <c r="Q227" s="6" t="str">
        <f>IFERROR(VLOOKUP(D227,Principles!$B$12:$D$66,3,FALSE()),"")</f>
        <v>A</v>
      </c>
      <c r="R227" s="23" t="s">
        <v>732</v>
      </c>
    </row>
    <row r="228" spans="1:18" ht="216">
      <c r="A228" s="14" t="s">
        <v>714</v>
      </c>
      <c r="B228" s="15" t="s">
        <v>690</v>
      </c>
      <c r="C228" s="16" t="s">
        <v>691</v>
      </c>
      <c r="D228" s="24" t="s">
        <v>729</v>
      </c>
      <c r="E228" s="25" t="s">
        <v>730</v>
      </c>
      <c r="F228" s="22" t="s">
        <v>715</v>
      </c>
      <c r="G228" s="21" t="s">
        <v>695</v>
      </c>
      <c r="H228" s="21" t="s">
        <v>731</v>
      </c>
      <c r="I228" s="21" t="s">
        <v>716</v>
      </c>
      <c r="J228" s="22"/>
      <c r="K228" s="22"/>
      <c r="L228" s="22"/>
      <c r="M228" s="22"/>
      <c r="N228" s="22"/>
      <c r="O228" s="4">
        <f t="shared" si="3"/>
        <v>2</v>
      </c>
      <c r="P228" s="5" t="str">
        <f>IFERROR(VLOOKUP(O228,Principles!$B$4:$C$7,2,FALSE()),"")</f>
        <v>Operable</v>
      </c>
      <c r="Q228" s="6" t="str">
        <f>IFERROR(VLOOKUP(D228,Principles!$B$12:$D$66,3,FALSE()),"")</f>
        <v>A</v>
      </c>
      <c r="R228" s="23" t="s">
        <v>732</v>
      </c>
    </row>
    <row r="229" spans="1:18" ht="184.9">
      <c r="A229" s="14" t="s">
        <v>733</v>
      </c>
      <c r="B229" s="15" t="s">
        <v>690</v>
      </c>
      <c r="C229" s="16" t="s">
        <v>691</v>
      </c>
      <c r="D229" s="24" t="s">
        <v>729</v>
      </c>
      <c r="E229" s="25" t="s">
        <v>730</v>
      </c>
      <c r="F229" s="22" t="s">
        <v>734</v>
      </c>
      <c r="G229" s="21" t="s">
        <v>695</v>
      </c>
      <c r="H229" s="21" t="s">
        <v>731</v>
      </c>
      <c r="I229" s="21" t="s">
        <v>735</v>
      </c>
      <c r="J229" s="22"/>
      <c r="K229" s="22"/>
      <c r="L229" s="22"/>
      <c r="M229" s="22"/>
      <c r="N229" s="22"/>
      <c r="O229" s="4">
        <f t="shared" si="3"/>
        <v>2</v>
      </c>
      <c r="P229" s="5" t="str">
        <f>IFERROR(VLOOKUP(O229,Principles!$B$4:$C$7,2,FALSE()),"")</f>
        <v>Operable</v>
      </c>
      <c r="Q229" s="6" t="str">
        <f>IFERROR(VLOOKUP(D229,Principles!$B$12:$D$66,3,FALSE()),"")</f>
        <v>A</v>
      </c>
      <c r="R229" s="23" t="s">
        <v>732</v>
      </c>
    </row>
    <row r="230" spans="1:18" ht="184.9">
      <c r="A230" s="14" t="s">
        <v>736</v>
      </c>
      <c r="B230" s="15" t="s">
        <v>690</v>
      </c>
      <c r="C230" s="16" t="s">
        <v>691</v>
      </c>
      <c r="D230" s="24" t="s">
        <v>729</v>
      </c>
      <c r="E230" s="25" t="s">
        <v>730</v>
      </c>
      <c r="F230" s="22" t="s">
        <v>737</v>
      </c>
      <c r="G230" s="21" t="s">
        <v>695</v>
      </c>
      <c r="H230" s="21" t="s">
        <v>731</v>
      </c>
      <c r="I230" s="21" t="s">
        <v>738</v>
      </c>
      <c r="J230" s="22"/>
      <c r="K230" s="22"/>
      <c r="L230" s="22"/>
      <c r="M230" s="22"/>
      <c r="N230" s="22"/>
      <c r="O230" s="4">
        <f t="shared" si="3"/>
        <v>2</v>
      </c>
      <c r="P230" s="5" t="str">
        <f>IFERROR(VLOOKUP(O230,Principles!$B$4:$C$7,2,FALSE()),"")</f>
        <v>Operable</v>
      </c>
      <c r="Q230" s="6" t="str">
        <f>IFERROR(VLOOKUP(D230,Principles!$B$12:$D$66,3,FALSE()),"")</f>
        <v>A</v>
      </c>
      <c r="R230" s="23" t="s">
        <v>732</v>
      </c>
    </row>
    <row r="231" spans="1:18" ht="184.9">
      <c r="A231" s="14" t="s">
        <v>739</v>
      </c>
      <c r="B231" s="15" t="s">
        <v>690</v>
      </c>
      <c r="C231" s="16" t="s">
        <v>691</v>
      </c>
      <c r="D231" s="24" t="s">
        <v>729</v>
      </c>
      <c r="E231" s="25" t="s">
        <v>730</v>
      </c>
      <c r="F231" s="22" t="s">
        <v>740</v>
      </c>
      <c r="G231" s="21" t="s">
        <v>695</v>
      </c>
      <c r="H231" s="21" t="s">
        <v>731</v>
      </c>
      <c r="I231" s="21" t="s">
        <v>741</v>
      </c>
      <c r="J231" s="22"/>
      <c r="K231" s="22"/>
      <c r="L231" s="22"/>
      <c r="M231" s="22"/>
      <c r="N231" s="22"/>
      <c r="O231" s="4">
        <f t="shared" si="3"/>
        <v>2</v>
      </c>
      <c r="P231" s="5" t="str">
        <f>IFERROR(VLOOKUP(O231,Principles!$B$4:$C$7,2,FALSE()),"")</f>
        <v>Operable</v>
      </c>
      <c r="Q231" s="6" t="str">
        <f>IFERROR(VLOOKUP(D231,Principles!$B$12:$D$66,3,FALSE()),"")</f>
        <v>A</v>
      </c>
      <c r="R231" s="23" t="s">
        <v>732</v>
      </c>
    </row>
    <row r="232" spans="1:18" ht="184.9">
      <c r="A232" s="14" t="s">
        <v>742</v>
      </c>
      <c r="B232" s="15" t="s">
        <v>690</v>
      </c>
      <c r="C232" s="16" t="s">
        <v>691</v>
      </c>
      <c r="D232" s="24" t="s">
        <v>729</v>
      </c>
      <c r="E232" s="25" t="s">
        <v>730</v>
      </c>
      <c r="F232" s="22" t="s">
        <v>743</v>
      </c>
      <c r="G232" s="21" t="s">
        <v>695</v>
      </c>
      <c r="H232" s="21" t="s">
        <v>731</v>
      </c>
      <c r="I232" s="21" t="s">
        <v>744</v>
      </c>
      <c r="J232" s="22"/>
      <c r="K232" s="22"/>
      <c r="L232" s="22"/>
      <c r="M232" s="22"/>
      <c r="N232" s="22"/>
      <c r="O232" s="4">
        <f t="shared" si="3"/>
        <v>2</v>
      </c>
      <c r="P232" s="5" t="str">
        <f>IFERROR(VLOOKUP(O232,Principles!$B$4:$C$7,2,FALSE()),"")</f>
        <v>Operable</v>
      </c>
      <c r="Q232" s="6" t="str">
        <f>IFERROR(VLOOKUP(D232,Principles!$B$12:$D$66,3,FALSE()),"")</f>
        <v>A</v>
      </c>
      <c r="R232" s="23" t="s">
        <v>732</v>
      </c>
    </row>
    <row r="233" spans="1:18" ht="184.9">
      <c r="A233" s="14" t="s">
        <v>745</v>
      </c>
      <c r="B233" s="15" t="s">
        <v>690</v>
      </c>
      <c r="C233" s="16" t="s">
        <v>691</v>
      </c>
      <c r="D233" s="24" t="s">
        <v>729</v>
      </c>
      <c r="E233" s="25" t="s">
        <v>730</v>
      </c>
      <c r="F233" s="22" t="s">
        <v>746</v>
      </c>
      <c r="G233" s="21" t="s">
        <v>695</v>
      </c>
      <c r="H233" s="21" t="s">
        <v>731</v>
      </c>
      <c r="I233" s="21" t="s">
        <v>747</v>
      </c>
      <c r="J233" s="22"/>
      <c r="K233" s="22"/>
      <c r="L233" s="22"/>
      <c r="M233" s="22"/>
      <c r="N233" s="22"/>
      <c r="O233" s="4">
        <f t="shared" si="3"/>
        <v>2</v>
      </c>
      <c r="P233" s="5" t="str">
        <f>IFERROR(VLOOKUP(O233,Principles!$B$4:$C$7,2,FALSE()),"")</f>
        <v>Operable</v>
      </c>
      <c r="Q233" s="6" t="str">
        <f>IFERROR(VLOOKUP(D233,Principles!$B$12:$D$66,3,FALSE()),"")</f>
        <v>A</v>
      </c>
      <c r="R233" s="23" t="s">
        <v>732</v>
      </c>
    </row>
    <row r="234" spans="1:18" ht="273.60000000000002">
      <c r="A234" s="14" t="s">
        <v>748</v>
      </c>
      <c r="B234" s="15" t="s">
        <v>690</v>
      </c>
      <c r="C234" s="16" t="s">
        <v>691</v>
      </c>
      <c r="D234" s="24" t="s">
        <v>729</v>
      </c>
      <c r="E234" s="25" t="s">
        <v>730</v>
      </c>
      <c r="F234" s="22" t="s">
        <v>749</v>
      </c>
      <c r="G234" s="21" t="s">
        <v>695</v>
      </c>
      <c r="H234" s="21" t="s">
        <v>731</v>
      </c>
      <c r="I234" s="21" t="s">
        <v>750</v>
      </c>
      <c r="J234" s="22"/>
      <c r="K234" s="22"/>
      <c r="L234" s="22"/>
      <c r="M234" s="22"/>
      <c r="N234" s="22"/>
      <c r="O234" s="4">
        <f t="shared" si="3"/>
        <v>2</v>
      </c>
      <c r="P234" s="5" t="str">
        <f>IFERROR(VLOOKUP(O234,Principles!$B$4:$C$7,2,FALSE()),"")</f>
        <v>Operable</v>
      </c>
      <c r="Q234" s="6" t="str">
        <f>IFERROR(VLOOKUP(D234,Principles!$B$12:$D$66,3,FALSE()),"")</f>
        <v>A</v>
      </c>
      <c r="R234" s="23" t="s">
        <v>732</v>
      </c>
    </row>
    <row r="235" spans="1:18" ht="184.9">
      <c r="A235" s="14" t="s">
        <v>751</v>
      </c>
      <c r="B235" s="15" t="s">
        <v>690</v>
      </c>
      <c r="C235" s="16" t="s">
        <v>691</v>
      </c>
      <c r="D235" s="24" t="s">
        <v>729</v>
      </c>
      <c r="E235" s="25" t="s">
        <v>730</v>
      </c>
      <c r="F235" s="22" t="s">
        <v>752</v>
      </c>
      <c r="G235" s="21" t="s">
        <v>695</v>
      </c>
      <c r="H235" s="21" t="s">
        <v>731</v>
      </c>
      <c r="I235" s="21" t="s">
        <v>753</v>
      </c>
      <c r="J235" s="22"/>
      <c r="K235" s="22"/>
      <c r="L235" s="22"/>
      <c r="M235" s="22"/>
      <c r="N235" s="22"/>
      <c r="O235" s="4">
        <f t="shared" si="3"/>
        <v>2</v>
      </c>
      <c r="P235" s="5" t="str">
        <f>IFERROR(VLOOKUP(O235,Principles!$B$4:$C$7,2,FALSE()),"")</f>
        <v>Operable</v>
      </c>
      <c r="Q235" s="6" t="str">
        <f>IFERROR(VLOOKUP(D235,Principles!$B$12:$D$66,3,FALSE()),"")</f>
        <v>A</v>
      </c>
      <c r="R235" s="23" t="s">
        <v>732</v>
      </c>
    </row>
    <row r="236" spans="1:18" ht="184.9">
      <c r="A236" s="14" t="s">
        <v>754</v>
      </c>
      <c r="B236" s="15" t="s">
        <v>690</v>
      </c>
      <c r="C236" s="16" t="s">
        <v>691</v>
      </c>
      <c r="D236" s="24" t="s">
        <v>729</v>
      </c>
      <c r="E236" s="25" t="s">
        <v>730</v>
      </c>
      <c r="F236" s="22" t="s">
        <v>755</v>
      </c>
      <c r="G236" s="21" t="s">
        <v>695</v>
      </c>
      <c r="H236" s="21" t="s">
        <v>731</v>
      </c>
      <c r="I236" s="21" t="s">
        <v>756</v>
      </c>
      <c r="J236" s="22"/>
      <c r="K236" s="22"/>
      <c r="L236" s="22"/>
      <c r="M236" s="22"/>
      <c r="N236" s="22"/>
      <c r="O236" s="4">
        <f t="shared" si="3"/>
        <v>2</v>
      </c>
      <c r="P236" s="5" t="str">
        <f>IFERROR(VLOOKUP(O236,Principles!$B$4:$C$7,2,FALSE()),"")</f>
        <v>Operable</v>
      </c>
      <c r="Q236" s="6" t="str">
        <f>IFERROR(VLOOKUP(D236,Principles!$B$12:$D$66,3,FALSE()),"")</f>
        <v>A</v>
      </c>
      <c r="R236" s="23" t="s">
        <v>732</v>
      </c>
    </row>
    <row r="237" spans="1:18" ht="184.9">
      <c r="A237" s="14" t="s">
        <v>757</v>
      </c>
      <c r="B237" s="15" t="s">
        <v>690</v>
      </c>
      <c r="C237" s="16" t="s">
        <v>691</v>
      </c>
      <c r="D237" s="24" t="s">
        <v>729</v>
      </c>
      <c r="E237" s="25" t="s">
        <v>730</v>
      </c>
      <c r="F237" s="22" t="s">
        <v>758</v>
      </c>
      <c r="G237" s="21" t="s">
        <v>695</v>
      </c>
      <c r="H237" s="21" t="s">
        <v>731</v>
      </c>
      <c r="I237" s="21" t="s">
        <v>759</v>
      </c>
      <c r="J237" s="22"/>
      <c r="K237" s="22"/>
      <c r="L237" s="22"/>
      <c r="M237" s="22"/>
      <c r="N237" s="22"/>
      <c r="O237" s="4">
        <f t="shared" si="3"/>
        <v>2</v>
      </c>
      <c r="P237" s="5" t="str">
        <f>IFERROR(VLOOKUP(O237,Principles!$B$4:$C$7,2,FALSE()),"")</f>
        <v>Operable</v>
      </c>
      <c r="Q237" s="6" t="str">
        <f>IFERROR(VLOOKUP(D237,Principles!$B$12:$D$66,3,FALSE()),"")</f>
        <v>A</v>
      </c>
      <c r="R237" s="23" t="s">
        <v>732</v>
      </c>
    </row>
    <row r="238" spans="1:18" ht="115.15">
      <c r="A238" s="14" t="s">
        <v>760</v>
      </c>
      <c r="B238" s="15" t="s">
        <v>761</v>
      </c>
      <c r="C238" s="16" t="s">
        <v>762</v>
      </c>
      <c r="D238" s="24" t="s">
        <v>763</v>
      </c>
      <c r="E238" s="25" t="s">
        <v>764</v>
      </c>
      <c r="F238" s="22" t="s">
        <v>765</v>
      </c>
      <c r="G238" s="21" t="s">
        <v>766</v>
      </c>
      <c r="H238" s="21" t="s">
        <v>767</v>
      </c>
      <c r="I238" s="21" t="s">
        <v>768</v>
      </c>
      <c r="J238" s="22"/>
      <c r="K238" s="22"/>
      <c r="L238" s="22"/>
      <c r="M238" s="22"/>
      <c r="N238" s="22"/>
      <c r="O238" s="4">
        <f t="shared" si="3"/>
        <v>2</v>
      </c>
      <c r="P238" s="5" t="str">
        <f>IFERROR(VLOOKUP(O238,Principles!$B$4:$C$7,2,FALSE()),"")</f>
        <v>Operable</v>
      </c>
      <c r="Q238" s="6" t="str">
        <f>IFERROR(VLOOKUP(D238,Principles!$B$12:$D$66,3,FALSE()),"")</f>
        <v>A</v>
      </c>
      <c r="R238" s="23" t="s">
        <v>769</v>
      </c>
    </row>
    <row r="239" spans="1:18" ht="100.9">
      <c r="A239" s="14" t="s">
        <v>770</v>
      </c>
      <c r="B239" s="15" t="s">
        <v>761</v>
      </c>
      <c r="C239" s="16" t="s">
        <v>762</v>
      </c>
      <c r="D239" s="24" t="s">
        <v>763</v>
      </c>
      <c r="E239" s="25" t="s">
        <v>764</v>
      </c>
      <c r="F239" s="22" t="s">
        <v>771</v>
      </c>
      <c r="G239" s="21" t="s">
        <v>766</v>
      </c>
      <c r="H239" s="21" t="s">
        <v>767</v>
      </c>
      <c r="I239" s="21" t="s">
        <v>772</v>
      </c>
      <c r="J239" s="22"/>
      <c r="K239" s="22"/>
      <c r="L239" s="22"/>
      <c r="M239" s="22"/>
      <c r="N239" s="22"/>
      <c r="O239" s="4">
        <f t="shared" si="3"/>
        <v>2</v>
      </c>
      <c r="P239" s="5" t="str">
        <f>IFERROR(VLOOKUP(O239,Principles!$B$4:$C$7,2,FALSE()),"")</f>
        <v>Operable</v>
      </c>
      <c r="Q239" s="6" t="str">
        <f>IFERROR(VLOOKUP(D239,Principles!$B$12:$D$66,3,FALSE()),"")</f>
        <v>A</v>
      </c>
      <c r="R239" s="23" t="s">
        <v>769</v>
      </c>
    </row>
    <row r="240" spans="1:18" ht="115.15">
      <c r="A240" s="14" t="s">
        <v>773</v>
      </c>
      <c r="B240" s="15" t="s">
        <v>761</v>
      </c>
      <c r="C240" s="16" t="s">
        <v>762</v>
      </c>
      <c r="D240" s="24" t="s">
        <v>763</v>
      </c>
      <c r="E240" s="25" t="s">
        <v>764</v>
      </c>
      <c r="F240" s="22" t="s">
        <v>774</v>
      </c>
      <c r="G240" s="21" t="s">
        <v>766</v>
      </c>
      <c r="H240" s="21" t="s">
        <v>767</v>
      </c>
      <c r="I240" s="21" t="s">
        <v>775</v>
      </c>
      <c r="J240" s="22"/>
      <c r="K240" s="22"/>
      <c r="L240" s="22"/>
      <c r="M240" s="22"/>
      <c r="N240" s="22"/>
      <c r="O240" s="4">
        <f t="shared" si="3"/>
        <v>2</v>
      </c>
      <c r="P240" s="5" t="str">
        <f>IFERROR(VLOOKUP(O240,Principles!$B$4:$C$7,2,FALSE()),"")</f>
        <v>Operable</v>
      </c>
      <c r="Q240" s="6" t="str">
        <f>IFERROR(VLOOKUP(D240,Principles!$B$12:$D$66,3,FALSE()),"")</f>
        <v>A</v>
      </c>
      <c r="R240" s="23" t="s">
        <v>769</v>
      </c>
    </row>
    <row r="241" spans="1:18" ht="144">
      <c r="A241" s="14" t="s">
        <v>776</v>
      </c>
      <c r="B241" s="15" t="s">
        <v>777</v>
      </c>
      <c r="C241" s="16" t="s">
        <v>778</v>
      </c>
      <c r="D241" s="24" t="s">
        <v>779</v>
      </c>
      <c r="E241" s="25" t="s">
        <v>780</v>
      </c>
      <c r="F241" s="22" t="s">
        <v>781</v>
      </c>
      <c r="G241" s="21" t="s">
        <v>782</v>
      </c>
      <c r="H241" s="21" t="s">
        <v>783</v>
      </c>
      <c r="I241" s="21" t="s">
        <v>784</v>
      </c>
      <c r="J241" s="22"/>
      <c r="K241" s="22"/>
      <c r="L241" s="22"/>
      <c r="M241" s="22"/>
      <c r="N241" s="22"/>
      <c r="O241" s="4">
        <f t="shared" si="3"/>
        <v>2</v>
      </c>
      <c r="P241" s="5" t="str">
        <f>IFERROR(VLOOKUP(O241,Principles!$B$4:$C$7,2,FALSE()),"")</f>
        <v>Operable</v>
      </c>
      <c r="Q241" s="6" t="str">
        <f>IFERROR(VLOOKUP(D241,Principles!$B$12:$D$66,3,FALSE()),"")</f>
        <v>A</v>
      </c>
      <c r="R241" s="23" t="s">
        <v>785</v>
      </c>
    </row>
    <row r="242" spans="1:18" ht="129.6">
      <c r="A242" s="14" t="s">
        <v>786</v>
      </c>
      <c r="B242" s="15" t="s">
        <v>777</v>
      </c>
      <c r="C242" s="16" t="s">
        <v>778</v>
      </c>
      <c r="D242" s="24" t="s">
        <v>779</v>
      </c>
      <c r="E242" s="25" t="s">
        <v>780</v>
      </c>
      <c r="F242" s="22" t="s">
        <v>787</v>
      </c>
      <c r="G242" s="21" t="s">
        <v>782</v>
      </c>
      <c r="H242" s="21" t="s">
        <v>783</v>
      </c>
      <c r="I242" s="21" t="s">
        <v>788</v>
      </c>
      <c r="J242" s="22"/>
      <c r="K242" s="22"/>
      <c r="L242" s="22"/>
      <c r="M242" s="22"/>
      <c r="N242" s="22"/>
      <c r="O242" s="4">
        <f t="shared" si="3"/>
        <v>2</v>
      </c>
      <c r="P242" s="5" t="str">
        <f>IFERROR(VLOOKUP(O242,Principles!$B$4:$C$7,2,FALSE()),"")</f>
        <v>Operable</v>
      </c>
      <c r="Q242" s="6" t="str">
        <f>IFERROR(VLOOKUP(D242,Principles!$B$12:$D$66,3,FALSE()),"")</f>
        <v>A</v>
      </c>
      <c r="R242" s="23" t="s">
        <v>785</v>
      </c>
    </row>
    <row r="243" spans="1:18" ht="115.15">
      <c r="A243" s="14" t="s">
        <v>789</v>
      </c>
      <c r="B243" s="15" t="s">
        <v>777</v>
      </c>
      <c r="C243" s="16" t="s">
        <v>778</v>
      </c>
      <c r="D243" s="24" t="s">
        <v>779</v>
      </c>
      <c r="E243" s="25" t="s">
        <v>780</v>
      </c>
      <c r="F243" s="22" t="s">
        <v>790</v>
      </c>
      <c r="G243" s="21" t="s">
        <v>782</v>
      </c>
      <c r="H243" s="21" t="s">
        <v>783</v>
      </c>
      <c r="I243" s="21" t="s">
        <v>791</v>
      </c>
      <c r="J243" s="22"/>
      <c r="K243" s="22"/>
      <c r="L243" s="22"/>
      <c r="M243" s="22"/>
      <c r="N243" s="22"/>
      <c r="O243" s="4">
        <f t="shared" si="3"/>
        <v>2</v>
      </c>
      <c r="P243" s="5" t="str">
        <f>IFERROR(VLOOKUP(O243,Principles!$B$4:$C$7,2,FALSE()),"")</f>
        <v>Operable</v>
      </c>
      <c r="Q243" s="6" t="str">
        <f>IFERROR(VLOOKUP(D243,Principles!$B$12:$D$66,3,FALSE()),"")</f>
        <v>A</v>
      </c>
      <c r="R243" s="23" t="s">
        <v>785</v>
      </c>
    </row>
    <row r="244" spans="1:18" ht="100.9">
      <c r="A244" s="14" t="s">
        <v>234</v>
      </c>
      <c r="B244" s="15" t="s">
        <v>777</v>
      </c>
      <c r="C244" s="16" t="s">
        <v>778</v>
      </c>
      <c r="D244" s="24" t="s">
        <v>779</v>
      </c>
      <c r="E244" s="25" t="s">
        <v>780</v>
      </c>
      <c r="F244" s="22" t="s">
        <v>239</v>
      </c>
      <c r="G244" s="21" t="s">
        <v>782</v>
      </c>
      <c r="H244" s="21" t="s">
        <v>783</v>
      </c>
      <c r="I244" s="21" t="s">
        <v>242</v>
      </c>
      <c r="J244" s="22"/>
      <c r="K244" s="22"/>
      <c r="L244" s="22"/>
      <c r="M244" s="22"/>
      <c r="N244" s="22"/>
      <c r="O244" s="4">
        <f t="shared" si="3"/>
        <v>2</v>
      </c>
      <c r="P244" s="5" t="str">
        <f>IFERROR(VLOOKUP(O244,Principles!$B$4:$C$7,2,FALSE()),"")</f>
        <v>Operable</v>
      </c>
      <c r="Q244" s="6" t="str">
        <f>IFERROR(VLOOKUP(D244,Principles!$B$12:$D$66,3,FALSE()),"")</f>
        <v>A</v>
      </c>
      <c r="R244" s="23" t="s">
        <v>785</v>
      </c>
    </row>
    <row r="245" spans="1:18" ht="129.6">
      <c r="A245" s="14" t="s">
        <v>792</v>
      </c>
      <c r="B245" s="15" t="s">
        <v>777</v>
      </c>
      <c r="C245" s="16" t="s">
        <v>778</v>
      </c>
      <c r="D245" s="24" t="s">
        <v>779</v>
      </c>
      <c r="E245" s="25" t="s">
        <v>780</v>
      </c>
      <c r="F245" s="22" t="s">
        <v>793</v>
      </c>
      <c r="G245" s="21" t="s">
        <v>782</v>
      </c>
      <c r="H245" s="21" t="s">
        <v>783</v>
      </c>
      <c r="I245" s="21" t="s">
        <v>794</v>
      </c>
      <c r="J245" s="22"/>
      <c r="K245" s="22"/>
      <c r="L245" s="22"/>
      <c r="M245" s="22"/>
      <c r="N245" s="22"/>
      <c r="O245" s="4">
        <f t="shared" si="3"/>
        <v>2</v>
      </c>
      <c r="P245" s="5" t="str">
        <f>IFERROR(VLOOKUP(O245,Principles!$B$4:$C$7,2,FALSE()),"")</f>
        <v>Operable</v>
      </c>
      <c r="Q245" s="6" t="str">
        <f>IFERROR(VLOOKUP(D245,Principles!$B$12:$D$66,3,FALSE()),"")</f>
        <v>A</v>
      </c>
      <c r="R245" s="23" t="s">
        <v>785</v>
      </c>
    </row>
    <row r="246" spans="1:18" ht="129.6">
      <c r="A246" s="14" t="s">
        <v>318</v>
      </c>
      <c r="B246" s="15" t="s">
        <v>777</v>
      </c>
      <c r="C246" s="16" t="s">
        <v>778</v>
      </c>
      <c r="D246" s="24" t="s">
        <v>779</v>
      </c>
      <c r="E246" s="25" t="s">
        <v>780</v>
      </c>
      <c r="F246" s="22" t="s">
        <v>319</v>
      </c>
      <c r="G246" s="21" t="s">
        <v>782</v>
      </c>
      <c r="H246" s="21" t="s">
        <v>783</v>
      </c>
      <c r="I246" s="21" t="s">
        <v>320</v>
      </c>
      <c r="J246" s="22"/>
      <c r="K246" s="22"/>
      <c r="L246" s="22"/>
      <c r="M246" s="22"/>
      <c r="N246" s="22"/>
      <c r="O246" s="4">
        <f t="shared" si="3"/>
        <v>2</v>
      </c>
      <c r="P246" s="5" t="str">
        <f>IFERROR(VLOOKUP(O246,Principles!$B$4:$C$7,2,FALSE()),"")</f>
        <v>Operable</v>
      </c>
      <c r="Q246" s="6" t="str">
        <f>IFERROR(VLOOKUP(D246,Principles!$B$12:$D$66,3,FALSE()),"")</f>
        <v>A</v>
      </c>
      <c r="R246" s="23" t="s">
        <v>785</v>
      </c>
    </row>
    <row r="247" spans="1:18" ht="100.9">
      <c r="A247" s="14" t="s">
        <v>795</v>
      </c>
      <c r="B247" s="15" t="s">
        <v>777</v>
      </c>
      <c r="C247" s="16" t="s">
        <v>778</v>
      </c>
      <c r="D247" s="24" t="s">
        <v>779</v>
      </c>
      <c r="E247" s="25" t="s">
        <v>780</v>
      </c>
      <c r="F247" s="22" t="s">
        <v>796</v>
      </c>
      <c r="G247" s="21" t="s">
        <v>782</v>
      </c>
      <c r="H247" s="21" t="s">
        <v>783</v>
      </c>
      <c r="I247" s="21" t="s">
        <v>797</v>
      </c>
      <c r="J247" s="22"/>
      <c r="K247" s="22"/>
      <c r="L247" s="22"/>
      <c r="M247" s="22"/>
      <c r="N247" s="22"/>
      <c r="O247" s="4">
        <f t="shared" si="3"/>
        <v>2</v>
      </c>
      <c r="P247" s="5" t="str">
        <f>IFERROR(VLOOKUP(O247,Principles!$B$4:$C$7,2,FALSE()),"")</f>
        <v>Operable</v>
      </c>
      <c r="Q247" s="6" t="str">
        <f>IFERROR(VLOOKUP(D247,Principles!$B$12:$D$66,3,FALSE()),"")</f>
        <v>A</v>
      </c>
      <c r="R247" s="23" t="s">
        <v>785</v>
      </c>
    </row>
    <row r="248" spans="1:18" ht="158.44999999999999">
      <c r="A248" s="14" t="s">
        <v>798</v>
      </c>
      <c r="B248" s="15" t="s">
        <v>777</v>
      </c>
      <c r="C248" s="16" t="s">
        <v>778</v>
      </c>
      <c r="D248" s="24" t="s">
        <v>779</v>
      </c>
      <c r="E248" s="25" t="s">
        <v>780</v>
      </c>
      <c r="F248" s="22" t="s">
        <v>799</v>
      </c>
      <c r="G248" s="21" t="s">
        <v>782</v>
      </c>
      <c r="H248" s="21" t="s">
        <v>783</v>
      </c>
      <c r="I248" s="21" t="s">
        <v>800</v>
      </c>
      <c r="J248" s="22"/>
      <c r="K248" s="22"/>
      <c r="L248" s="22"/>
      <c r="M248" s="22"/>
      <c r="N248" s="22"/>
      <c r="O248" s="4">
        <f t="shared" si="3"/>
        <v>2</v>
      </c>
      <c r="P248" s="5" t="str">
        <f>IFERROR(VLOOKUP(O248,Principles!$B$4:$C$7,2,FALSE()),"")</f>
        <v>Operable</v>
      </c>
      <c r="Q248" s="6" t="str">
        <f>IFERROR(VLOOKUP(D248,Principles!$B$12:$D$66,3,FALSE()),"")</f>
        <v>A</v>
      </c>
      <c r="R248" s="23" t="s">
        <v>785</v>
      </c>
    </row>
    <row r="249" spans="1:18" ht="86.45">
      <c r="A249" s="14" t="s">
        <v>801</v>
      </c>
      <c r="B249" s="15" t="s">
        <v>777</v>
      </c>
      <c r="C249" s="16" t="s">
        <v>778</v>
      </c>
      <c r="D249" s="24" t="s">
        <v>802</v>
      </c>
      <c r="E249" s="25" t="s">
        <v>803</v>
      </c>
      <c r="F249" s="22" t="s">
        <v>804</v>
      </c>
      <c r="G249" s="21" t="s">
        <v>782</v>
      </c>
      <c r="H249" s="21" t="s">
        <v>805</v>
      </c>
      <c r="I249" s="21" t="s">
        <v>806</v>
      </c>
      <c r="J249" s="22"/>
      <c r="K249" s="22"/>
      <c r="L249" s="22"/>
      <c r="M249" s="22"/>
      <c r="N249" s="22"/>
      <c r="O249" s="4">
        <f t="shared" si="3"/>
        <v>2</v>
      </c>
      <c r="P249" s="5" t="str">
        <f>IFERROR(VLOOKUP(O249,Principles!$B$4:$C$7,2,FALSE()),"")</f>
        <v>Operable</v>
      </c>
      <c r="Q249" s="6" t="str">
        <f>IFERROR(VLOOKUP(D249,Principles!$B$12:$D$66,3,FALSE()),"")</f>
        <v>A</v>
      </c>
      <c r="R249" s="23" t="s">
        <v>807</v>
      </c>
    </row>
    <row r="250" spans="1:18" ht="115.15">
      <c r="A250" s="14" t="s">
        <v>808</v>
      </c>
      <c r="B250" s="15" t="s">
        <v>777</v>
      </c>
      <c r="C250" s="16" t="s">
        <v>778</v>
      </c>
      <c r="D250" s="24" t="s">
        <v>802</v>
      </c>
      <c r="E250" s="25" t="s">
        <v>803</v>
      </c>
      <c r="F250" s="22" t="s">
        <v>809</v>
      </c>
      <c r="G250" s="21" t="s">
        <v>782</v>
      </c>
      <c r="H250" s="21" t="s">
        <v>805</v>
      </c>
      <c r="I250" s="21" t="s">
        <v>810</v>
      </c>
      <c r="J250" s="22"/>
      <c r="K250" s="22"/>
      <c r="L250" s="22"/>
      <c r="M250" s="22"/>
      <c r="N250" s="22"/>
      <c r="O250" s="4">
        <f t="shared" si="3"/>
        <v>2</v>
      </c>
      <c r="P250" s="5" t="str">
        <f>IFERROR(VLOOKUP(O250,Principles!$B$4:$C$7,2,FALSE()),"")</f>
        <v>Operable</v>
      </c>
      <c r="Q250" s="6" t="str">
        <f>IFERROR(VLOOKUP(D250,Principles!$B$12:$D$66,3,FALSE()),"")</f>
        <v>A</v>
      </c>
      <c r="R250" s="23" t="s">
        <v>807</v>
      </c>
    </row>
    <row r="251" spans="1:18" ht="129.6">
      <c r="A251" s="14" t="s">
        <v>811</v>
      </c>
      <c r="B251" s="15" t="s">
        <v>777</v>
      </c>
      <c r="C251" s="16" t="s">
        <v>778</v>
      </c>
      <c r="D251" s="24" t="s">
        <v>802</v>
      </c>
      <c r="E251" s="25" t="s">
        <v>803</v>
      </c>
      <c r="F251" s="22" t="s">
        <v>812</v>
      </c>
      <c r="G251" s="21" t="s">
        <v>782</v>
      </c>
      <c r="H251" s="21" t="s">
        <v>805</v>
      </c>
      <c r="I251" s="21" t="s">
        <v>813</v>
      </c>
      <c r="J251" s="22"/>
      <c r="K251" s="22"/>
      <c r="L251" s="22"/>
      <c r="M251" s="22"/>
      <c r="N251" s="22"/>
      <c r="O251" s="4">
        <f t="shared" si="3"/>
        <v>2</v>
      </c>
      <c r="P251" s="5" t="str">
        <f>IFERROR(VLOOKUP(O251,Principles!$B$4:$C$7,2,FALSE()),"")</f>
        <v>Operable</v>
      </c>
      <c r="Q251" s="6" t="str">
        <f>IFERROR(VLOOKUP(D251,Principles!$B$12:$D$66,3,FALSE()),"")</f>
        <v>A</v>
      </c>
      <c r="R251" s="23" t="s">
        <v>807</v>
      </c>
    </row>
    <row r="252" spans="1:18" ht="86.45">
      <c r="A252" s="14" t="s">
        <v>814</v>
      </c>
      <c r="B252" s="15" t="s">
        <v>777</v>
      </c>
      <c r="C252" s="16" t="s">
        <v>778</v>
      </c>
      <c r="D252" s="24" t="s">
        <v>802</v>
      </c>
      <c r="E252" s="25" t="s">
        <v>803</v>
      </c>
      <c r="F252" s="22" t="s">
        <v>815</v>
      </c>
      <c r="G252" s="21" t="s">
        <v>782</v>
      </c>
      <c r="H252" s="21" t="s">
        <v>805</v>
      </c>
      <c r="I252" s="21" t="s">
        <v>816</v>
      </c>
      <c r="J252" s="22"/>
      <c r="K252" s="22"/>
      <c r="L252" s="22"/>
      <c r="M252" s="22"/>
      <c r="N252" s="22"/>
      <c r="O252" s="4">
        <f t="shared" si="3"/>
        <v>2</v>
      </c>
      <c r="P252" s="5" t="str">
        <f>IFERROR(VLOOKUP(O252,Principles!$B$4:$C$7,2,FALSE()),"")</f>
        <v>Operable</v>
      </c>
      <c r="Q252" s="6" t="str">
        <f>IFERROR(VLOOKUP(D252,Principles!$B$12:$D$66,3,FALSE()),"")</f>
        <v>A</v>
      </c>
      <c r="R252" s="23" t="s">
        <v>807</v>
      </c>
    </row>
    <row r="253" spans="1:18" ht="100.9">
      <c r="A253" s="14" t="s">
        <v>817</v>
      </c>
      <c r="B253" s="15" t="s">
        <v>777</v>
      </c>
      <c r="C253" s="16" t="s">
        <v>778</v>
      </c>
      <c r="D253" s="24" t="s">
        <v>818</v>
      </c>
      <c r="E253" s="25" t="s">
        <v>819</v>
      </c>
      <c r="F253" s="22" t="s">
        <v>820</v>
      </c>
      <c r="G253" s="21" t="s">
        <v>782</v>
      </c>
      <c r="H253" s="21" t="s">
        <v>821</v>
      </c>
      <c r="I253" s="21" t="s">
        <v>822</v>
      </c>
      <c r="J253" s="22"/>
      <c r="K253" s="22"/>
      <c r="L253" s="22"/>
      <c r="M253" s="22"/>
      <c r="N253" s="22"/>
      <c r="O253" s="4">
        <f t="shared" si="3"/>
        <v>2</v>
      </c>
      <c r="P253" s="5" t="str">
        <f>IFERROR(VLOOKUP(O253,Principles!$B$4:$C$7,2,FALSE()),"")</f>
        <v>Operable</v>
      </c>
      <c r="Q253" s="6" t="str">
        <f>IFERROR(VLOOKUP(D253,Principles!$B$12:$D$66,3,FALSE()),"")</f>
        <v>A</v>
      </c>
      <c r="R253" s="23" t="s">
        <v>823</v>
      </c>
    </row>
    <row r="254" spans="1:18" ht="86.45">
      <c r="A254" s="14" t="s">
        <v>394</v>
      </c>
      <c r="B254" s="15" t="s">
        <v>777</v>
      </c>
      <c r="C254" s="16" t="s">
        <v>778</v>
      </c>
      <c r="D254" s="24" t="s">
        <v>818</v>
      </c>
      <c r="E254" s="25" t="s">
        <v>819</v>
      </c>
      <c r="F254" s="22" t="s">
        <v>395</v>
      </c>
      <c r="G254" s="21" t="s">
        <v>782</v>
      </c>
      <c r="H254" s="21" t="s">
        <v>821</v>
      </c>
      <c r="I254" s="21" t="s">
        <v>396</v>
      </c>
      <c r="J254" s="22"/>
      <c r="K254" s="22"/>
      <c r="L254" s="22"/>
      <c r="M254" s="22"/>
      <c r="N254" s="22"/>
      <c r="O254" s="4">
        <f t="shared" si="3"/>
        <v>2</v>
      </c>
      <c r="P254" s="5" t="str">
        <f>IFERROR(VLOOKUP(O254,Principles!$B$4:$C$7,2,FALSE()),"")</f>
        <v>Operable</v>
      </c>
      <c r="Q254" s="6" t="str">
        <f>IFERROR(VLOOKUP(D254,Principles!$B$12:$D$66,3,FALSE()),"")</f>
        <v>A</v>
      </c>
      <c r="R254" s="23" t="s">
        <v>823</v>
      </c>
    </row>
    <row r="255" spans="1:18" ht="100.9">
      <c r="A255" s="14" t="s">
        <v>397</v>
      </c>
      <c r="B255" s="15" t="s">
        <v>777</v>
      </c>
      <c r="C255" s="16" t="s">
        <v>778</v>
      </c>
      <c r="D255" s="24" t="s">
        <v>818</v>
      </c>
      <c r="E255" s="25" t="s">
        <v>819</v>
      </c>
      <c r="F255" s="22" t="s">
        <v>398</v>
      </c>
      <c r="G255" s="21" t="s">
        <v>782</v>
      </c>
      <c r="H255" s="21" t="s">
        <v>821</v>
      </c>
      <c r="I255" s="21" t="s">
        <v>399</v>
      </c>
      <c r="J255" s="22"/>
      <c r="K255" s="22"/>
      <c r="L255" s="22"/>
      <c r="M255" s="22"/>
      <c r="N255" s="22"/>
      <c r="O255" s="4">
        <f t="shared" si="3"/>
        <v>2</v>
      </c>
      <c r="P255" s="5" t="str">
        <f>IFERROR(VLOOKUP(O255,Principles!$B$4:$C$7,2,FALSE()),"")</f>
        <v>Operable</v>
      </c>
      <c r="Q255" s="6" t="str">
        <f>IFERROR(VLOOKUP(D255,Principles!$B$12:$D$66,3,FALSE()),"")</f>
        <v>A</v>
      </c>
      <c r="R255" s="23" t="s">
        <v>823</v>
      </c>
    </row>
    <row r="256" spans="1:18" ht="144">
      <c r="A256" s="14" t="s">
        <v>824</v>
      </c>
      <c r="B256" s="15" t="s">
        <v>777</v>
      </c>
      <c r="C256" s="16" t="s">
        <v>778</v>
      </c>
      <c r="D256" s="24" t="s">
        <v>818</v>
      </c>
      <c r="E256" s="25" t="s">
        <v>819</v>
      </c>
      <c r="F256" s="22" t="s">
        <v>825</v>
      </c>
      <c r="G256" s="21" t="s">
        <v>782</v>
      </c>
      <c r="H256" s="21" t="s">
        <v>821</v>
      </c>
      <c r="I256" s="21" t="s">
        <v>826</v>
      </c>
      <c r="J256" s="22"/>
      <c r="K256" s="22"/>
      <c r="L256" s="22"/>
      <c r="M256" s="22"/>
      <c r="N256" s="22"/>
      <c r="O256" s="4">
        <f t="shared" si="3"/>
        <v>2</v>
      </c>
      <c r="P256" s="5" t="str">
        <f>IFERROR(VLOOKUP(O256,Principles!$B$4:$C$7,2,FALSE()),"")</f>
        <v>Operable</v>
      </c>
      <c r="Q256" s="6" t="str">
        <f>IFERROR(VLOOKUP(D256,Principles!$B$12:$D$66,3,FALSE()),"")</f>
        <v>A</v>
      </c>
      <c r="R256" s="23" t="s">
        <v>823</v>
      </c>
    </row>
    <row r="257" spans="1:18" ht="100.9">
      <c r="A257" s="14" t="s">
        <v>827</v>
      </c>
      <c r="B257" s="15" t="s">
        <v>777</v>
      </c>
      <c r="C257" s="16" t="s">
        <v>778</v>
      </c>
      <c r="D257" s="24" t="s">
        <v>818</v>
      </c>
      <c r="E257" s="25" t="s">
        <v>819</v>
      </c>
      <c r="F257" s="22" t="s">
        <v>828</v>
      </c>
      <c r="G257" s="21" t="s">
        <v>782</v>
      </c>
      <c r="H257" s="21" t="s">
        <v>821</v>
      </c>
      <c r="I257" s="21" t="s">
        <v>829</v>
      </c>
      <c r="J257" s="22"/>
      <c r="K257" s="22"/>
      <c r="L257" s="22"/>
      <c r="M257" s="22"/>
      <c r="N257" s="22"/>
      <c r="O257" s="4">
        <f t="shared" si="3"/>
        <v>2</v>
      </c>
      <c r="P257" s="5" t="str">
        <f>IFERROR(VLOOKUP(O257,Principles!$B$4:$C$7,2,FALSE()),"")</f>
        <v>Operable</v>
      </c>
      <c r="Q257" s="6" t="str">
        <f>IFERROR(VLOOKUP(D257,Principles!$B$12:$D$66,3,FALSE()),"")</f>
        <v>A</v>
      </c>
      <c r="R257" s="23" t="s">
        <v>823</v>
      </c>
    </row>
    <row r="258" spans="1:18" ht="158.44999999999999">
      <c r="A258" s="14" t="s">
        <v>830</v>
      </c>
      <c r="B258" s="15" t="s">
        <v>777</v>
      </c>
      <c r="C258" s="16" t="s">
        <v>778</v>
      </c>
      <c r="D258" s="24" t="s">
        <v>818</v>
      </c>
      <c r="E258" s="25" t="s">
        <v>819</v>
      </c>
      <c r="F258" s="22" t="s">
        <v>831</v>
      </c>
      <c r="G258" s="21" t="s">
        <v>782</v>
      </c>
      <c r="H258" s="21" t="s">
        <v>821</v>
      </c>
      <c r="I258" s="21" t="s">
        <v>832</v>
      </c>
      <c r="J258" s="22"/>
      <c r="K258" s="22"/>
      <c r="L258" s="22"/>
      <c r="M258" s="22"/>
      <c r="N258" s="22"/>
      <c r="O258" s="4">
        <f t="shared" ref="O258:O321" si="4">IFERROR(VALUE(LEFT(D258,FIND(".",D258)-1)),"")</f>
        <v>2</v>
      </c>
      <c r="P258" s="5" t="str">
        <f>IFERROR(VLOOKUP(O258,Principles!$B$4:$C$7,2,FALSE()),"")</f>
        <v>Operable</v>
      </c>
      <c r="Q258" s="6" t="str">
        <f>IFERROR(VLOOKUP(D258,Principles!$B$12:$D$66,3,FALSE()),"")</f>
        <v>A</v>
      </c>
      <c r="R258" s="23" t="s">
        <v>823</v>
      </c>
    </row>
    <row r="259" spans="1:18" ht="86.45">
      <c r="A259" s="14" t="s">
        <v>833</v>
      </c>
      <c r="B259" s="15" t="s">
        <v>777</v>
      </c>
      <c r="C259" s="16" t="s">
        <v>778</v>
      </c>
      <c r="D259" s="24" t="s">
        <v>818</v>
      </c>
      <c r="E259" s="25" t="s">
        <v>819</v>
      </c>
      <c r="F259" s="22" t="s">
        <v>834</v>
      </c>
      <c r="G259" s="21" t="s">
        <v>782</v>
      </c>
      <c r="H259" s="21" t="s">
        <v>821</v>
      </c>
      <c r="I259" s="21" t="s">
        <v>835</v>
      </c>
      <c r="J259" s="22"/>
      <c r="K259" s="22"/>
      <c r="L259" s="22"/>
      <c r="M259" s="22"/>
      <c r="N259" s="22"/>
      <c r="O259" s="4">
        <f t="shared" si="4"/>
        <v>2</v>
      </c>
      <c r="P259" s="5" t="str">
        <f>IFERROR(VLOOKUP(O259,Principles!$B$4:$C$7,2,FALSE()),"")</f>
        <v>Operable</v>
      </c>
      <c r="Q259" s="6" t="str">
        <f>IFERROR(VLOOKUP(D259,Principles!$B$12:$D$66,3,FALSE()),"")</f>
        <v>A</v>
      </c>
      <c r="R259" s="23" t="s">
        <v>823</v>
      </c>
    </row>
    <row r="260" spans="1:18" ht="244.9">
      <c r="A260" s="14" t="s">
        <v>836</v>
      </c>
      <c r="B260" s="15" t="s">
        <v>777</v>
      </c>
      <c r="C260" s="16" t="s">
        <v>778</v>
      </c>
      <c r="D260" s="24" t="s">
        <v>818</v>
      </c>
      <c r="E260" s="25" t="s">
        <v>819</v>
      </c>
      <c r="F260" s="22" t="s">
        <v>837</v>
      </c>
      <c r="G260" s="21" t="s">
        <v>782</v>
      </c>
      <c r="H260" s="21" t="s">
        <v>821</v>
      </c>
      <c r="I260" s="21" t="s">
        <v>838</v>
      </c>
      <c r="J260" s="22"/>
      <c r="K260" s="22"/>
      <c r="L260" s="22"/>
      <c r="M260" s="22"/>
      <c r="N260" s="22"/>
      <c r="O260" s="4">
        <f t="shared" si="4"/>
        <v>2</v>
      </c>
      <c r="P260" s="5" t="str">
        <f>IFERROR(VLOOKUP(O260,Principles!$B$4:$C$7,2,FALSE()),"")</f>
        <v>Operable</v>
      </c>
      <c r="Q260" s="6" t="str">
        <f>IFERROR(VLOOKUP(D260,Principles!$B$12:$D$66,3,FALSE()),"")</f>
        <v>A</v>
      </c>
      <c r="R260" s="23" t="s">
        <v>823</v>
      </c>
    </row>
    <row r="261" spans="1:18" ht="72">
      <c r="A261" s="14" t="s">
        <v>839</v>
      </c>
      <c r="B261" s="15" t="s">
        <v>777</v>
      </c>
      <c r="C261" s="16" t="s">
        <v>778</v>
      </c>
      <c r="D261" s="24" t="s">
        <v>840</v>
      </c>
      <c r="E261" s="25" t="s">
        <v>841</v>
      </c>
      <c r="F261" s="22" t="s">
        <v>842</v>
      </c>
      <c r="G261" s="21" t="s">
        <v>782</v>
      </c>
      <c r="H261" s="21" t="s">
        <v>843</v>
      </c>
      <c r="I261" s="21" t="s">
        <v>844</v>
      </c>
      <c r="J261" s="22"/>
      <c r="K261" s="22"/>
      <c r="L261" s="22"/>
      <c r="M261" s="22"/>
      <c r="N261" s="22"/>
      <c r="O261" s="4">
        <f t="shared" si="4"/>
        <v>2</v>
      </c>
      <c r="P261" s="5" t="str">
        <f>IFERROR(VLOOKUP(O261,Principles!$B$4:$C$7,2,FALSE()),"")</f>
        <v>Operable</v>
      </c>
      <c r="Q261" s="6" t="str">
        <f>IFERROR(VLOOKUP(D261,Principles!$B$12:$D$66,3,FALSE()),"")</f>
        <v>A</v>
      </c>
      <c r="R261" s="23" t="s">
        <v>845</v>
      </c>
    </row>
    <row r="262" spans="1:18" ht="100.9">
      <c r="A262" s="14" t="s">
        <v>76</v>
      </c>
      <c r="B262" s="15" t="s">
        <v>777</v>
      </c>
      <c r="C262" s="16" t="s">
        <v>778</v>
      </c>
      <c r="D262" s="24" t="s">
        <v>840</v>
      </c>
      <c r="E262" s="25" t="s">
        <v>841</v>
      </c>
      <c r="F262" s="22" t="s">
        <v>846</v>
      </c>
      <c r="G262" s="21" t="s">
        <v>782</v>
      </c>
      <c r="H262" s="21" t="s">
        <v>843</v>
      </c>
      <c r="I262" s="21" t="s">
        <v>78</v>
      </c>
      <c r="J262" s="22"/>
      <c r="K262" s="22"/>
      <c r="L262" s="22"/>
      <c r="M262" s="22"/>
      <c r="N262" s="22"/>
      <c r="O262" s="4">
        <f t="shared" si="4"/>
        <v>2</v>
      </c>
      <c r="P262" s="5" t="str">
        <f>IFERROR(VLOOKUP(O262,Principles!$B$4:$C$7,2,FALSE()),"")</f>
        <v>Operable</v>
      </c>
      <c r="Q262" s="6" t="str">
        <f>IFERROR(VLOOKUP(D262,Principles!$B$12:$D$66,3,FALSE()),"")</f>
        <v>A</v>
      </c>
      <c r="R262" s="23" t="s">
        <v>845</v>
      </c>
    </row>
    <row r="263" spans="1:18" ht="100.9">
      <c r="A263" s="14" t="s">
        <v>73</v>
      </c>
      <c r="B263" s="15" t="s">
        <v>777</v>
      </c>
      <c r="C263" s="16" t="s">
        <v>778</v>
      </c>
      <c r="D263" s="24" t="s">
        <v>840</v>
      </c>
      <c r="E263" s="25" t="s">
        <v>841</v>
      </c>
      <c r="F263" s="22" t="s">
        <v>847</v>
      </c>
      <c r="G263" s="21" t="s">
        <v>782</v>
      </c>
      <c r="H263" s="21" t="s">
        <v>843</v>
      </c>
      <c r="I263" s="21" t="s">
        <v>75</v>
      </c>
      <c r="J263" s="22"/>
      <c r="K263" s="22"/>
      <c r="L263" s="22"/>
      <c r="M263" s="22"/>
      <c r="N263" s="22"/>
      <c r="O263" s="4">
        <f t="shared" si="4"/>
        <v>2</v>
      </c>
      <c r="P263" s="5" t="str">
        <f>IFERROR(VLOOKUP(O263,Principles!$B$4:$C$7,2,FALSE()),"")</f>
        <v>Operable</v>
      </c>
      <c r="Q263" s="6" t="str">
        <f>IFERROR(VLOOKUP(D263,Principles!$B$12:$D$66,3,FALSE()),"")</f>
        <v>A</v>
      </c>
      <c r="R263" s="23" t="s">
        <v>845</v>
      </c>
    </row>
    <row r="264" spans="1:18" ht="115.15">
      <c r="A264" s="14" t="s">
        <v>848</v>
      </c>
      <c r="B264" s="15" t="s">
        <v>777</v>
      </c>
      <c r="C264" s="16" t="s">
        <v>778</v>
      </c>
      <c r="D264" s="24" t="s">
        <v>840</v>
      </c>
      <c r="E264" s="25" t="s">
        <v>841</v>
      </c>
      <c r="F264" s="22" t="s">
        <v>849</v>
      </c>
      <c r="G264" s="21" t="s">
        <v>782</v>
      </c>
      <c r="H264" s="21" t="s">
        <v>843</v>
      </c>
      <c r="I264" s="21" t="s">
        <v>850</v>
      </c>
      <c r="J264" s="22"/>
      <c r="K264" s="22"/>
      <c r="L264" s="22"/>
      <c r="M264" s="22"/>
      <c r="N264" s="22"/>
      <c r="O264" s="4">
        <f t="shared" si="4"/>
        <v>2</v>
      </c>
      <c r="P264" s="5" t="str">
        <f>IFERROR(VLOOKUP(O264,Principles!$B$4:$C$7,2,FALSE()),"")</f>
        <v>Operable</v>
      </c>
      <c r="Q264" s="6" t="str">
        <f>IFERROR(VLOOKUP(D264,Principles!$B$12:$D$66,3,FALSE()),"")</f>
        <v>A</v>
      </c>
      <c r="R264" s="23" t="s">
        <v>845</v>
      </c>
    </row>
    <row r="265" spans="1:18" ht="172.9">
      <c r="A265" s="14" t="s">
        <v>851</v>
      </c>
      <c r="B265" s="15" t="s">
        <v>777</v>
      </c>
      <c r="C265" s="16" t="s">
        <v>778</v>
      </c>
      <c r="D265" s="24" t="s">
        <v>840</v>
      </c>
      <c r="E265" s="25" t="s">
        <v>841</v>
      </c>
      <c r="F265" s="22" t="s">
        <v>852</v>
      </c>
      <c r="G265" s="21" t="s">
        <v>782</v>
      </c>
      <c r="H265" s="21" t="s">
        <v>843</v>
      </c>
      <c r="I265" s="21" t="s">
        <v>853</v>
      </c>
      <c r="J265" s="22"/>
      <c r="K265" s="22"/>
      <c r="L265" s="22"/>
      <c r="M265" s="22"/>
      <c r="N265" s="22"/>
      <c r="O265" s="4">
        <f t="shared" si="4"/>
        <v>2</v>
      </c>
      <c r="P265" s="5" t="str">
        <f>IFERROR(VLOOKUP(O265,Principles!$B$4:$C$7,2,FALSE()),"")</f>
        <v>Operable</v>
      </c>
      <c r="Q265" s="6" t="str">
        <f>IFERROR(VLOOKUP(D265,Principles!$B$12:$D$66,3,FALSE()),"")</f>
        <v>A</v>
      </c>
      <c r="R265" s="23" t="s">
        <v>845</v>
      </c>
    </row>
    <row r="266" spans="1:18" ht="115.15">
      <c r="A266" s="14" t="s">
        <v>854</v>
      </c>
      <c r="B266" s="15" t="s">
        <v>777</v>
      </c>
      <c r="C266" s="16" t="s">
        <v>778</v>
      </c>
      <c r="D266" s="24" t="s">
        <v>840</v>
      </c>
      <c r="E266" s="25" t="s">
        <v>841</v>
      </c>
      <c r="F266" s="22" t="s">
        <v>855</v>
      </c>
      <c r="G266" s="21" t="s">
        <v>782</v>
      </c>
      <c r="H266" s="21" t="s">
        <v>843</v>
      </c>
      <c r="I266" s="21" t="s">
        <v>856</v>
      </c>
      <c r="J266" s="22"/>
      <c r="K266" s="22"/>
      <c r="L266" s="22"/>
      <c r="M266" s="22"/>
      <c r="N266" s="22"/>
      <c r="O266" s="4">
        <f t="shared" si="4"/>
        <v>2</v>
      </c>
      <c r="P266" s="5" t="str">
        <f>IFERROR(VLOOKUP(O266,Principles!$B$4:$C$7,2,FALSE()),"")</f>
        <v>Operable</v>
      </c>
      <c r="Q266" s="6" t="str">
        <f>IFERROR(VLOOKUP(D266,Principles!$B$12:$D$66,3,FALSE()),"")</f>
        <v>A</v>
      </c>
      <c r="R266" s="23" t="s">
        <v>845</v>
      </c>
    </row>
    <row r="267" spans="1:18" ht="100.9">
      <c r="A267" s="14" t="s">
        <v>857</v>
      </c>
      <c r="B267" s="15" t="s">
        <v>777</v>
      </c>
      <c r="C267" s="16" t="s">
        <v>778</v>
      </c>
      <c r="D267" s="24" t="s">
        <v>840</v>
      </c>
      <c r="E267" s="25" t="s">
        <v>841</v>
      </c>
      <c r="F267" s="22" t="s">
        <v>858</v>
      </c>
      <c r="G267" s="21" t="s">
        <v>782</v>
      </c>
      <c r="H267" s="21" t="s">
        <v>843</v>
      </c>
      <c r="I267" s="21" t="s">
        <v>859</v>
      </c>
      <c r="J267" s="22"/>
      <c r="K267" s="22"/>
      <c r="L267" s="22"/>
      <c r="M267" s="22"/>
      <c r="N267" s="22"/>
      <c r="O267" s="4">
        <f t="shared" si="4"/>
        <v>2</v>
      </c>
      <c r="P267" s="5" t="str">
        <f>IFERROR(VLOOKUP(O267,Principles!$B$4:$C$7,2,FALSE()),"")</f>
        <v>Operable</v>
      </c>
      <c r="Q267" s="6" t="str">
        <f>IFERROR(VLOOKUP(D267,Principles!$B$12:$D$66,3,FALSE()),"")</f>
        <v>A</v>
      </c>
      <c r="R267" s="23" t="s">
        <v>845</v>
      </c>
    </row>
    <row r="268" spans="1:18" ht="115.15">
      <c r="A268" s="14" t="s">
        <v>860</v>
      </c>
      <c r="B268" s="15" t="s">
        <v>777</v>
      </c>
      <c r="C268" s="16" t="s">
        <v>778</v>
      </c>
      <c r="D268" s="24" t="s">
        <v>840</v>
      </c>
      <c r="E268" s="25" t="s">
        <v>841</v>
      </c>
      <c r="F268" s="22" t="s">
        <v>861</v>
      </c>
      <c r="G268" s="21" t="s">
        <v>782</v>
      </c>
      <c r="H268" s="21" t="s">
        <v>843</v>
      </c>
      <c r="I268" s="21" t="s">
        <v>862</v>
      </c>
      <c r="J268" s="22"/>
      <c r="K268" s="22"/>
      <c r="L268" s="22"/>
      <c r="M268" s="22"/>
      <c r="N268" s="22"/>
      <c r="O268" s="4">
        <f t="shared" si="4"/>
        <v>2</v>
      </c>
      <c r="P268" s="5" t="str">
        <f>IFERROR(VLOOKUP(O268,Principles!$B$4:$C$7,2,FALSE()),"")</f>
        <v>Operable</v>
      </c>
      <c r="Q268" s="6" t="str">
        <f>IFERROR(VLOOKUP(D268,Principles!$B$12:$D$66,3,FALSE()),"")</f>
        <v>A</v>
      </c>
      <c r="R268" s="23" t="s">
        <v>845</v>
      </c>
    </row>
    <row r="269" spans="1:18" ht="115.15">
      <c r="A269" s="14" t="s">
        <v>863</v>
      </c>
      <c r="B269" s="15" t="s">
        <v>777</v>
      </c>
      <c r="C269" s="16" t="s">
        <v>778</v>
      </c>
      <c r="D269" s="24" t="s">
        <v>840</v>
      </c>
      <c r="E269" s="25" t="s">
        <v>841</v>
      </c>
      <c r="F269" s="22" t="s">
        <v>864</v>
      </c>
      <c r="G269" s="21" t="s">
        <v>782</v>
      </c>
      <c r="H269" s="21" t="s">
        <v>843</v>
      </c>
      <c r="I269" s="21" t="s">
        <v>865</v>
      </c>
      <c r="J269" s="22"/>
      <c r="K269" s="22"/>
      <c r="L269" s="22"/>
      <c r="M269" s="22"/>
      <c r="N269" s="22"/>
      <c r="O269" s="4">
        <f t="shared" si="4"/>
        <v>2</v>
      </c>
      <c r="P269" s="5" t="str">
        <f>IFERROR(VLOOKUP(O269,Principles!$B$4:$C$7,2,FALSE()),"")</f>
        <v>Operable</v>
      </c>
      <c r="Q269" s="6" t="str">
        <f>IFERROR(VLOOKUP(D269,Principles!$B$12:$D$66,3,FALSE()),"")</f>
        <v>A</v>
      </c>
      <c r="R269" s="23" t="s">
        <v>845</v>
      </c>
    </row>
    <row r="270" spans="1:18" ht="86.45">
      <c r="A270" s="14" t="s">
        <v>866</v>
      </c>
      <c r="B270" s="15" t="s">
        <v>777</v>
      </c>
      <c r="C270" s="16" t="s">
        <v>778</v>
      </c>
      <c r="D270" s="24" t="s">
        <v>840</v>
      </c>
      <c r="E270" s="25" t="s">
        <v>841</v>
      </c>
      <c r="F270" s="22" t="s">
        <v>867</v>
      </c>
      <c r="G270" s="21" t="s">
        <v>782</v>
      </c>
      <c r="H270" s="21" t="s">
        <v>843</v>
      </c>
      <c r="I270" s="21" t="s">
        <v>868</v>
      </c>
      <c r="J270" s="22"/>
      <c r="K270" s="22"/>
      <c r="L270" s="22"/>
      <c r="M270" s="22"/>
      <c r="N270" s="22"/>
      <c r="O270" s="4">
        <f t="shared" si="4"/>
        <v>2</v>
      </c>
      <c r="P270" s="5" t="str">
        <f>IFERROR(VLOOKUP(O270,Principles!$B$4:$C$7,2,FALSE()),"")</f>
        <v>Operable</v>
      </c>
      <c r="Q270" s="6" t="str">
        <f>IFERROR(VLOOKUP(D270,Principles!$B$12:$D$66,3,FALSE()),"")</f>
        <v>A</v>
      </c>
      <c r="R270" s="23" t="s">
        <v>845</v>
      </c>
    </row>
    <row r="271" spans="1:18" ht="100.9">
      <c r="A271" s="14" t="s">
        <v>869</v>
      </c>
      <c r="B271" s="15" t="s">
        <v>777</v>
      </c>
      <c r="C271" s="16" t="s">
        <v>778</v>
      </c>
      <c r="D271" s="24" t="s">
        <v>840</v>
      </c>
      <c r="E271" s="25" t="s">
        <v>841</v>
      </c>
      <c r="F271" s="22" t="s">
        <v>870</v>
      </c>
      <c r="G271" s="21" t="s">
        <v>782</v>
      </c>
      <c r="H271" s="21" t="s">
        <v>843</v>
      </c>
      <c r="I271" s="21" t="s">
        <v>871</v>
      </c>
      <c r="J271" s="22"/>
      <c r="K271" s="22"/>
      <c r="L271" s="22"/>
      <c r="M271" s="22"/>
      <c r="N271" s="22"/>
      <c r="O271" s="4">
        <f t="shared" si="4"/>
        <v>2</v>
      </c>
      <c r="P271" s="5" t="str">
        <f>IFERROR(VLOOKUP(O271,Principles!$B$4:$C$7,2,FALSE()),"")</f>
        <v>Operable</v>
      </c>
      <c r="Q271" s="6" t="str">
        <f>IFERROR(VLOOKUP(D271,Principles!$B$12:$D$66,3,FALSE()),"")</f>
        <v>A</v>
      </c>
      <c r="R271" s="23" t="s">
        <v>845</v>
      </c>
    </row>
    <row r="272" spans="1:18" ht="100.9">
      <c r="A272" s="14" t="s">
        <v>872</v>
      </c>
      <c r="B272" s="15" t="s">
        <v>777</v>
      </c>
      <c r="C272" s="16" t="s">
        <v>778</v>
      </c>
      <c r="D272" s="24" t="s">
        <v>840</v>
      </c>
      <c r="E272" s="25" t="s">
        <v>841</v>
      </c>
      <c r="F272" s="22" t="s">
        <v>873</v>
      </c>
      <c r="G272" s="21" t="s">
        <v>782</v>
      </c>
      <c r="H272" s="21" t="s">
        <v>843</v>
      </c>
      <c r="I272" s="21" t="s">
        <v>874</v>
      </c>
      <c r="J272" s="22"/>
      <c r="K272" s="22"/>
      <c r="L272" s="22"/>
      <c r="M272" s="22"/>
      <c r="N272" s="22"/>
      <c r="O272" s="4">
        <f t="shared" si="4"/>
        <v>2</v>
      </c>
      <c r="P272" s="5" t="str">
        <f>IFERROR(VLOOKUP(O272,Principles!$B$4:$C$7,2,FALSE()),"")</f>
        <v>Operable</v>
      </c>
      <c r="Q272" s="6" t="str">
        <f>IFERROR(VLOOKUP(D272,Principles!$B$12:$D$66,3,FALSE()),"")</f>
        <v>A</v>
      </c>
      <c r="R272" s="23" t="s">
        <v>845</v>
      </c>
    </row>
    <row r="273" spans="1:18" ht="129.6">
      <c r="A273" s="14" t="s">
        <v>875</v>
      </c>
      <c r="B273" s="15" t="s">
        <v>777</v>
      </c>
      <c r="C273" s="16" t="s">
        <v>778</v>
      </c>
      <c r="D273" s="24" t="s">
        <v>840</v>
      </c>
      <c r="E273" s="25" t="s">
        <v>841</v>
      </c>
      <c r="F273" s="22" t="s">
        <v>876</v>
      </c>
      <c r="G273" s="21" t="s">
        <v>782</v>
      </c>
      <c r="H273" s="21" t="s">
        <v>843</v>
      </c>
      <c r="I273" s="21" t="s">
        <v>877</v>
      </c>
      <c r="J273" s="22"/>
      <c r="K273" s="22"/>
      <c r="L273" s="22"/>
      <c r="M273" s="22"/>
      <c r="N273" s="22"/>
      <c r="O273" s="4">
        <f t="shared" si="4"/>
        <v>2</v>
      </c>
      <c r="P273" s="5" t="str">
        <f>IFERROR(VLOOKUP(O273,Principles!$B$4:$C$7,2,FALSE()),"")</f>
        <v>Operable</v>
      </c>
      <c r="Q273" s="6" t="str">
        <f>IFERROR(VLOOKUP(D273,Principles!$B$12:$D$66,3,FALSE()),"")</f>
        <v>A</v>
      </c>
      <c r="R273" s="23" t="s">
        <v>845</v>
      </c>
    </row>
    <row r="274" spans="1:18" ht="115.15">
      <c r="A274" s="14" t="s">
        <v>878</v>
      </c>
      <c r="B274" s="15" t="s">
        <v>777</v>
      </c>
      <c r="C274" s="16" t="s">
        <v>778</v>
      </c>
      <c r="D274" s="24" t="s">
        <v>840</v>
      </c>
      <c r="E274" s="25" t="s">
        <v>841</v>
      </c>
      <c r="F274" s="22" t="s">
        <v>879</v>
      </c>
      <c r="G274" s="21" t="s">
        <v>782</v>
      </c>
      <c r="H274" s="21" t="s">
        <v>843</v>
      </c>
      <c r="I274" s="21" t="s">
        <v>880</v>
      </c>
      <c r="J274" s="22"/>
      <c r="K274" s="22"/>
      <c r="L274" s="22"/>
      <c r="M274" s="22"/>
      <c r="N274" s="22"/>
      <c r="O274" s="4">
        <f t="shared" si="4"/>
        <v>2</v>
      </c>
      <c r="P274" s="5" t="str">
        <f>IFERROR(VLOOKUP(O274,Principles!$B$4:$C$7,2,FALSE()),"")</f>
        <v>Operable</v>
      </c>
      <c r="Q274" s="6" t="str">
        <f>IFERROR(VLOOKUP(D274,Principles!$B$12:$D$66,3,FALSE()),"")</f>
        <v>A</v>
      </c>
      <c r="R274" s="23" t="s">
        <v>845</v>
      </c>
    </row>
    <row r="275" spans="1:18" ht="158.44999999999999">
      <c r="A275" s="14" t="s">
        <v>321</v>
      </c>
      <c r="B275" s="15" t="s">
        <v>777</v>
      </c>
      <c r="C275" s="16" t="s">
        <v>778</v>
      </c>
      <c r="D275" s="24" t="s">
        <v>840</v>
      </c>
      <c r="E275" s="25" t="s">
        <v>841</v>
      </c>
      <c r="F275" s="22" t="s">
        <v>322</v>
      </c>
      <c r="G275" s="21" t="s">
        <v>782</v>
      </c>
      <c r="H275" s="21" t="s">
        <v>843</v>
      </c>
      <c r="I275" s="21" t="s">
        <v>323</v>
      </c>
      <c r="J275" s="22"/>
      <c r="K275" s="22"/>
      <c r="L275" s="22"/>
      <c r="M275" s="22"/>
      <c r="N275" s="22"/>
      <c r="O275" s="4">
        <f t="shared" si="4"/>
        <v>2</v>
      </c>
      <c r="P275" s="5" t="str">
        <f>IFERROR(VLOOKUP(O275,Principles!$B$4:$C$7,2,FALSE()),"")</f>
        <v>Operable</v>
      </c>
      <c r="Q275" s="6" t="str">
        <f>IFERROR(VLOOKUP(D275,Principles!$B$12:$D$66,3,FALSE()),"")</f>
        <v>A</v>
      </c>
      <c r="R275" s="23" t="s">
        <v>845</v>
      </c>
    </row>
    <row r="276" spans="1:18" ht="115.15">
      <c r="A276" s="14" t="s">
        <v>881</v>
      </c>
      <c r="B276" s="15" t="s">
        <v>777</v>
      </c>
      <c r="C276" s="16" t="s">
        <v>778</v>
      </c>
      <c r="D276" s="24" t="s">
        <v>840</v>
      </c>
      <c r="E276" s="25" t="s">
        <v>841</v>
      </c>
      <c r="F276" s="22" t="s">
        <v>882</v>
      </c>
      <c r="G276" s="21" t="s">
        <v>782</v>
      </c>
      <c r="H276" s="21" t="s">
        <v>843</v>
      </c>
      <c r="I276" s="21" t="s">
        <v>883</v>
      </c>
      <c r="J276" s="22"/>
      <c r="K276" s="22"/>
      <c r="L276" s="22"/>
      <c r="M276" s="22"/>
      <c r="N276" s="22"/>
      <c r="O276" s="4">
        <f t="shared" si="4"/>
        <v>2</v>
      </c>
      <c r="P276" s="5" t="str">
        <f>IFERROR(VLOOKUP(O276,Principles!$B$4:$C$7,2,FALSE()),"")</f>
        <v>Operable</v>
      </c>
      <c r="Q276" s="6" t="str">
        <f>IFERROR(VLOOKUP(D276,Principles!$B$12:$D$66,3,FALSE()),"")</f>
        <v>A</v>
      </c>
      <c r="R276" s="23" t="s">
        <v>845</v>
      </c>
    </row>
    <row r="277" spans="1:18" ht="187.15">
      <c r="A277" s="14" t="s">
        <v>884</v>
      </c>
      <c r="B277" s="15" t="s">
        <v>777</v>
      </c>
      <c r="C277" s="16" t="s">
        <v>778</v>
      </c>
      <c r="D277" s="24" t="s">
        <v>840</v>
      </c>
      <c r="E277" s="25" t="s">
        <v>841</v>
      </c>
      <c r="F277" s="22" t="s">
        <v>885</v>
      </c>
      <c r="G277" s="21" t="s">
        <v>782</v>
      </c>
      <c r="H277" s="21" t="s">
        <v>843</v>
      </c>
      <c r="I277" s="21" t="s">
        <v>886</v>
      </c>
      <c r="J277" s="22"/>
      <c r="K277" s="22"/>
      <c r="L277" s="22"/>
      <c r="M277" s="22"/>
      <c r="N277" s="22"/>
      <c r="O277" s="4">
        <f t="shared" si="4"/>
        <v>2</v>
      </c>
      <c r="P277" s="5" t="str">
        <f>IFERROR(VLOOKUP(O277,Principles!$B$4:$C$7,2,FALSE()),"")</f>
        <v>Operable</v>
      </c>
      <c r="Q277" s="6" t="str">
        <f>IFERROR(VLOOKUP(D277,Principles!$B$12:$D$66,3,FALSE()),"")</f>
        <v>A</v>
      </c>
      <c r="R277" s="23" t="s">
        <v>845</v>
      </c>
    </row>
    <row r="278" spans="1:18" ht="172.9">
      <c r="A278" s="14" t="s">
        <v>887</v>
      </c>
      <c r="B278" s="15" t="s">
        <v>777</v>
      </c>
      <c r="C278" s="16" t="s">
        <v>778</v>
      </c>
      <c r="D278" s="24" t="s">
        <v>840</v>
      </c>
      <c r="E278" s="25" t="s">
        <v>841</v>
      </c>
      <c r="F278" s="22" t="s">
        <v>888</v>
      </c>
      <c r="G278" s="21" t="s">
        <v>782</v>
      </c>
      <c r="H278" s="21" t="s">
        <v>843</v>
      </c>
      <c r="I278" s="21" t="s">
        <v>889</v>
      </c>
      <c r="J278" s="22"/>
      <c r="K278" s="22"/>
      <c r="L278" s="22"/>
      <c r="M278" s="22"/>
      <c r="N278" s="22"/>
      <c r="O278" s="4">
        <f t="shared" si="4"/>
        <v>2</v>
      </c>
      <c r="P278" s="5" t="str">
        <f>IFERROR(VLOOKUP(O278,Principles!$B$4:$C$7,2,FALSE()),"")</f>
        <v>Operable</v>
      </c>
      <c r="Q278" s="6" t="str">
        <f>IFERROR(VLOOKUP(D278,Principles!$B$12:$D$66,3,FALSE()),"")</f>
        <v>A</v>
      </c>
      <c r="R278" s="23" t="s">
        <v>845</v>
      </c>
    </row>
    <row r="279" spans="1:18" ht="72">
      <c r="A279" s="14" t="s">
        <v>890</v>
      </c>
      <c r="B279" s="15" t="s">
        <v>777</v>
      </c>
      <c r="C279" s="16" t="s">
        <v>778</v>
      </c>
      <c r="D279" s="24" t="s">
        <v>891</v>
      </c>
      <c r="E279" s="25" t="s">
        <v>892</v>
      </c>
      <c r="F279" s="22" t="s">
        <v>893</v>
      </c>
      <c r="G279" s="21" t="s">
        <v>782</v>
      </c>
      <c r="H279" s="21" t="s">
        <v>894</v>
      </c>
      <c r="I279" s="21" t="s">
        <v>895</v>
      </c>
      <c r="J279" s="22"/>
      <c r="K279" s="22"/>
      <c r="L279" s="22"/>
      <c r="M279" s="22"/>
      <c r="N279" s="22"/>
      <c r="O279" s="4">
        <f t="shared" si="4"/>
        <v>2</v>
      </c>
      <c r="P279" s="5" t="str">
        <f>IFERROR(VLOOKUP(O279,Principles!$B$4:$C$7,2,FALSE()),"")</f>
        <v>Operable</v>
      </c>
      <c r="Q279" s="6" t="str">
        <f>IFERROR(VLOOKUP(D279,Principles!$B$12:$D$66,3,FALSE()),"")</f>
        <v>AA</v>
      </c>
      <c r="R279" s="23" t="s">
        <v>896</v>
      </c>
    </row>
    <row r="280" spans="1:18" ht="100.9">
      <c r="A280" s="14" t="s">
        <v>897</v>
      </c>
      <c r="B280" s="15" t="s">
        <v>777</v>
      </c>
      <c r="C280" s="16" t="s">
        <v>778</v>
      </c>
      <c r="D280" s="24" t="s">
        <v>891</v>
      </c>
      <c r="E280" s="25" t="s">
        <v>892</v>
      </c>
      <c r="F280" s="22" t="s">
        <v>898</v>
      </c>
      <c r="G280" s="21" t="s">
        <v>782</v>
      </c>
      <c r="H280" s="21" t="s">
        <v>894</v>
      </c>
      <c r="I280" s="21" t="s">
        <v>899</v>
      </c>
      <c r="J280" s="22"/>
      <c r="K280" s="22"/>
      <c r="L280" s="22"/>
      <c r="M280" s="22"/>
      <c r="N280" s="22"/>
      <c r="O280" s="4">
        <f t="shared" si="4"/>
        <v>2</v>
      </c>
      <c r="P280" s="5" t="str">
        <f>IFERROR(VLOOKUP(O280,Principles!$B$4:$C$7,2,FALSE()),"")</f>
        <v>Operable</v>
      </c>
      <c r="Q280" s="6" t="str">
        <f>IFERROR(VLOOKUP(D280,Principles!$B$12:$D$66,3,FALSE()),"")</f>
        <v>AA</v>
      </c>
      <c r="R280" s="23" t="s">
        <v>896</v>
      </c>
    </row>
    <row r="281" spans="1:18" ht="115.15">
      <c r="A281" s="14" t="s">
        <v>900</v>
      </c>
      <c r="B281" s="15" t="s">
        <v>777</v>
      </c>
      <c r="C281" s="16" t="s">
        <v>778</v>
      </c>
      <c r="D281" s="24" t="s">
        <v>891</v>
      </c>
      <c r="E281" s="25" t="s">
        <v>892</v>
      </c>
      <c r="F281" s="22" t="s">
        <v>901</v>
      </c>
      <c r="G281" s="21" t="s">
        <v>782</v>
      </c>
      <c r="H281" s="21" t="s">
        <v>894</v>
      </c>
      <c r="I281" s="21" t="s">
        <v>902</v>
      </c>
      <c r="J281" s="22"/>
      <c r="K281" s="22"/>
      <c r="L281" s="22"/>
      <c r="M281" s="22"/>
      <c r="N281" s="22"/>
      <c r="O281" s="4">
        <f t="shared" si="4"/>
        <v>2</v>
      </c>
      <c r="P281" s="5" t="str">
        <f>IFERROR(VLOOKUP(O281,Principles!$B$4:$C$7,2,FALSE()),"")</f>
        <v>Operable</v>
      </c>
      <c r="Q281" s="6" t="str">
        <f>IFERROR(VLOOKUP(D281,Principles!$B$12:$D$66,3,FALSE()),"")</f>
        <v>AA</v>
      </c>
      <c r="R281" s="23" t="s">
        <v>896</v>
      </c>
    </row>
    <row r="282" spans="1:18" ht="100.9">
      <c r="A282" s="14" t="s">
        <v>903</v>
      </c>
      <c r="B282" s="15" t="s">
        <v>777</v>
      </c>
      <c r="C282" s="16" t="s">
        <v>778</v>
      </c>
      <c r="D282" s="24" t="s">
        <v>891</v>
      </c>
      <c r="E282" s="25" t="s">
        <v>892</v>
      </c>
      <c r="F282" s="22" t="s">
        <v>904</v>
      </c>
      <c r="G282" s="21" t="s">
        <v>782</v>
      </c>
      <c r="H282" s="21" t="s">
        <v>894</v>
      </c>
      <c r="I282" s="21" t="s">
        <v>905</v>
      </c>
      <c r="J282" s="22"/>
      <c r="K282" s="22"/>
      <c r="L282" s="22"/>
      <c r="M282" s="22"/>
      <c r="N282" s="22"/>
      <c r="O282" s="4">
        <f t="shared" si="4"/>
        <v>2</v>
      </c>
      <c r="P282" s="5" t="str">
        <f>IFERROR(VLOOKUP(O282,Principles!$B$4:$C$7,2,FALSE()),"")</f>
        <v>Operable</v>
      </c>
      <c r="Q282" s="6" t="str">
        <f>IFERROR(VLOOKUP(D282,Principles!$B$12:$D$66,3,FALSE()),"")</f>
        <v>AA</v>
      </c>
      <c r="R282" s="23" t="s">
        <v>896</v>
      </c>
    </row>
    <row r="283" spans="1:18" ht="86.45">
      <c r="A283" s="14" t="s">
        <v>906</v>
      </c>
      <c r="B283" s="15" t="s">
        <v>777</v>
      </c>
      <c r="C283" s="16" t="s">
        <v>778</v>
      </c>
      <c r="D283" s="24" t="s">
        <v>891</v>
      </c>
      <c r="E283" s="25" t="s">
        <v>892</v>
      </c>
      <c r="F283" s="22" t="s">
        <v>907</v>
      </c>
      <c r="G283" s="21" t="s">
        <v>782</v>
      </c>
      <c r="H283" s="21" t="s">
        <v>894</v>
      </c>
      <c r="I283" s="21" t="s">
        <v>908</v>
      </c>
      <c r="J283" s="22"/>
      <c r="K283" s="22"/>
      <c r="L283" s="22"/>
      <c r="M283" s="22"/>
      <c r="N283" s="22"/>
      <c r="O283" s="4">
        <f t="shared" si="4"/>
        <v>2</v>
      </c>
      <c r="P283" s="5" t="str">
        <f>IFERROR(VLOOKUP(O283,Principles!$B$4:$C$7,2,FALSE()),"")</f>
        <v>Operable</v>
      </c>
      <c r="Q283" s="6" t="str">
        <f>IFERROR(VLOOKUP(D283,Principles!$B$12:$D$66,3,FALSE()),"")</f>
        <v>AA</v>
      </c>
      <c r="R283" s="23" t="s">
        <v>896</v>
      </c>
    </row>
    <row r="284" spans="1:18" ht="72">
      <c r="A284" s="14" t="s">
        <v>909</v>
      </c>
      <c r="B284" s="15" t="s">
        <v>777</v>
      </c>
      <c r="C284" s="16" t="s">
        <v>778</v>
      </c>
      <c r="D284" s="24" t="s">
        <v>891</v>
      </c>
      <c r="E284" s="25" t="s">
        <v>892</v>
      </c>
      <c r="F284" s="22" t="s">
        <v>910</v>
      </c>
      <c r="G284" s="21" t="s">
        <v>782</v>
      </c>
      <c r="H284" s="21" t="s">
        <v>894</v>
      </c>
      <c r="I284" s="21" t="s">
        <v>911</v>
      </c>
      <c r="J284" s="22"/>
      <c r="K284" s="22"/>
      <c r="L284" s="22"/>
      <c r="M284" s="22"/>
      <c r="N284" s="22"/>
      <c r="O284" s="4">
        <f t="shared" si="4"/>
        <v>2</v>
      </c>
      <c r="P284" s="5" t="str">
        <f>IFERROR(VLOOKUP(O284,Principles!$B$4:$C$7,2,FALSE()),"")</f>
        <v>Operable</v>
      </c>
      <c r="Q284" s="6" t="str">
        <f>IFERROR(VLOOKUP(D284,Principles!$B$12:$D$66,3,FALSE()),"")</f>
        <v>AA</v>
      </c>
      <c r="R284" s="23" t="s">
        <v>896</v>
      </c>
    </row>
    <row r="285" spans="1:18" ht="86.45">
      <c r="A285" s="14" t="s">
        <v>912</v>
      </c>
      <c r="B285" s="15" t="s">
        <v>777</v>
      </c>
      <c r="C285" s="16" t="s">
        <v>778</v>
      </c>
      <c r="D285" s="24" t="s">
        <v>913</v>
      </c>
      <c r="E285" s="25" t="s">
        <v>914</v>
      </c>
      <c r="F285" s="22" t="s">
        <v>915</v>
      </c>
      <c r="G285" s="21" t="s">
        <v>782</v>
      </c>
      <c r="H285" s="21" t="s">
        <v>916</v>
      </c>
      <c r="I285" s="21" t="s">
        <v>917</v>
      </c>
      <c r="J285" s="22"/>
      <c r="K285" s="22"/>
      <c r="L285" s="22"/>
      <c r="M285" s="22"/>
      <c r="N285" s="22"/>
      <c r="O285" s="4">
        <f t="shared" si="4"/>
        <v>2</v>
      </c>
      <c r="P285" s="5" t="str">
        <f>IFERROR(VLOOKUP(O285,Principles!$B$4:$C$7,2,FALSE()),"")</f>
        <v>Operable</v>
      </c>
      <c r="Q285" s="6" t="str">
        <f>IFERROR(VLOOKUP(D285,Principles!$B$12:$D$66,3,FALSE()),"")</f>
        <v>AA</v>
      </c>
      <c r="R285" s="23" t="s">
        <v>918</v>
      </c>
    </row>
    <row r="286" spans="1:18" ht="86.45">
      <c r="A286" s="14" t="s">
        <v>919</v>
      </c>
      <c r="B286" s="15" t="s">
        <v>777</v>
      </c>
      <c r="C286" s="16" t="s">
        <v>778</v>
      </c>
      <c r="D286" s="24" t="s">
        <v>913</v>
      </c>
      <c r="E286" s="25" t="s">
        <v>914</v>
      </c>
      <c r="F286" s="22" t="s">
        <v>920</v>
      </c>
      <c r="G286" s="21" t="s">
        <v>782</v>
      </c>
      <c r="H286" s="21" t="s">
        <v>916</v>
      </c>
      <c r="I286" s="21" t="s">
        <v>921</v>
      </c>
      <c r="J286" s="22"/>
      <c r="K286" s="22"/>
      <c r="L286" s="22"/>
      <c r="M286" s="22"/>
      <c r="N286" s="22"/>
      <c r="O286" s="4">
        <f t="shared" si="4"/>
        <v>2</v>
      </c>
      <c r="P286" s="5" t="str">
        <f>IFERROR(VLOOKUP(O286,Principles!$B$4:$C$7,2,FALSE()),"")</f>
        <v>Operable</v>
      </c>
      <c r="Q286" s="6" t="str">
        <f>IFERROR(VLOOKUP(D286,Principles!$B$12:$D$66,3,FALSE()),"")</f>
        <v>AA</v>
      </c>
      <c r="R286" s="23" t="s">
        <v>918</v>
      </c>
    </row>
    <row r="287" spans="1:18" ht="129.6">
      <c r="A287" s="14" t="s">
        <v>922</v>
      </c>
      <c r="B287" s="15" t="s">
        <v>777</v>
      </c>
      <c r="C287" s="16" t="s">
        <v>778</v>
      </c>
      <c r="D287" s="24" t="s">
        <v>923</v>
      </c>
      <c r="E287" s="25" t="s">
        <v>924</v>
      </c>
      <c r="F287" s="22" t="s">
        <v>925</v>
      </c>
      <c r="G287" s="21" t="s">
        <v>782</v>
      </c>
      <c r="H287" s="21" t="s">
        <v>926</v>
      </c>
      <c r="I287" s="21" t="s">
        <v>927</v>
      </c>
      <c r="J287" s="22"/>
      <c r="K287" s="22"/>
      <c r="L287" s="22"/>
      <c r="M287" s="22"/>
      <c r="N287" s="22"/>
      <c r="O287" s="4">
        <f t="shared" si="4"/>
        <v>2</v>
      </c>
      <c r="P287" s="5" t="str">
        <f>IFERROR(VLOOKUP(O287,Principles!$B$4:$C$7,2,FALSE()),"")</f>
        <v>Operable</v>
      </c>
      <c r="Q287" s="6" t="str">
        <f>IFERROR(VLOOKUP(D287,Principles!$B$12:$D$66,3,FALSE()),"")</f>
        <v>AA</v>
      </c>
      <c r="R287" s="23" t="s">
        <v>928</v>
      </c>
    </row>
    <row r="288" spans="1:18" ht="115.15">
      <c r="A288" s="14" t="s">
        <v>929</v>
      </c>
      <c r="B288" s="15" t="s">
        <v>777</v>
      </c>
      <c r="C288" s="16" t="s">
        <v>778</v>
      </c>
      <c r="D288" s="24" t="s">
        <v>923</v>
      </c>
      <c r="E288" s="25" t="s">
        <v>924</v>
      </c>
      <c r="F288" s="22" t="s">
        <v>930</v>
      </c>
      <c r="G288" s="21" t="s">
        <v>782</v>
      </c>
      <c r="H288" s="21" t="s">
        <v>926</v>
      </c>
      <c r="I288" s="21" t="s">
        <v>931</v>
      </c>
      <c r="J288" s="22"/>
      <c r="K288" s="22"/>
      <c r="L288" s="22"/>
      <c r="M288" s="22"/>
      <c r="N288" s="22"/>
      <c r="O288" s="4">
        <f t="shared" si="4"/>
        <v>2</v>
      </c>
      <c r="P288" s="5" t="str">
        <f>IFERROR(VLOOKUP(O288,Principles!$B$4:$C$7,2,FALSE()),"")</f>
        <v>Operable</v>
      </c>
      <c r="Q288" s="6" t="str">
        <f>IFERROR(VLOOKUP(D288,Principles!$B$12:$D$66,3,FALSE()),"")</f>
        <v>AA</v>
      </c>
      <c r="R288" s="23" t="s">
        <v>928</v>
      </c>
    </row>
    <row r="289" spans="1:18" ht="115.15">
      <c r="A289" s="14" t="s">
        <v>932</v>
      </c>
      <c r="B289" s="15" t="s">
        <v>777</v>
      </c>
      <c r="C289" s="16" t="s">
        <v>778</v>
      </c>
      <c r="D289" s="24" t="s">
        <v>923</v>
      </c>
      <c r="E289" s="25" t="s">
        <v>924</v>
      </c>
      <c r="F289" s="22" t="s">
        <v>933</v>
      </c>
      <c r="G289" s="21" t="s">
        <v>782</v>
      </c>
      <c r="H289" s="21" t="s">
        <v>926</v>
      </c>
      <c r="I289" s="21" t="s">
        <v>934</v>
      </c>
      <c r="J289" s="22"/>
      <c r="K289" s="22"/>
      <c r="L289" s="22"/>
      <c r="M289" s="22"/>
      <c r="N289" s="22"/>
      <c r="O289" s="4">
        <f t="shared" si="4"/>
        <v>2</v>
      </c>
      <c r="P289" s="5" t="str">
        <f>IFERROR(VLOOKUP(O289,Principles!$B$4:$C$7,2,FALSE()),"")</f>
        <v>Operable</v>
      </c>
      <c r="Q289" s="6" t="str">
        <f>IFERROR(VLOOKUP(D289,Principles!$B$12:$D$66,3,FALSE()),"")</f>
        <v>AA</v>
      </c>
      <c r="R289" s="23" t="s">
        <v>928</v>
      </c>
    </row>
    <row r="290" spans="1:18" ht="100.9">
      <c r="A290" s="14" t="s">
        <v>596</v>
      </c>
      <c r="B290" s="15" t="s">
        <v>777</v>
      </c>
      <c r="C290" s="16" t="s">
        <v>778</v>
      </c>
      <c r="D290" s="24" t="s">
        <v>923</v>
      </c>
      <c r="E290" s="25" t="s">
        <v>924</v>
      </c>
      <c r="F290" s="22" t="s">
        <v>599</v>
      </c>
      <c r="G290" s="21" t="s">
        <v>782</v>
      </c>
      <c r="H290" s="21" t="s">
        <v>926</v>
      </c>
      <c r="I290" s="21" t="s">
        <v>601</v>
      </c>
      <c r="J290" s="22"/>
      <c r="K290" s="22"/>
      <c r="L290" s="22"/>
      <c r="M290" s="22"/>
      <c r="N290" s="22"/>
      <c r="O290" s="4">
        <f t="shared" si="4"/>
        <v>2</v>
      </c>
      <c r="P290" s="5" t="str">
        <f>IFERROR(VLOOKUP(O290,Principles!$B$4:$C$7,2,FALSE()),"")</f>
        <v>Operable</v>
      </c>
      <c r="Q290" s="6" t="str">
        <f>IFERROR(VLOOKUP(D290,Principles!$B$12:$D$66,3,FALSE()),"")</f>
        <v>AA</v>
      </c>
      <c r="R290" s="23" t="s">
        <v>928</v>
      </c>
    </row>
    <row r="291" spans="1:18" ht="100.9">
      <c r="A291" s="14" t="s">
        <v>935</v>
      </c>
      <c r="B291" s="15" t="s">
        <v>777</v>
      </c>
      <c r="C291" s="16" t="s">
        <v>778</v>
      </c>
      <c r="D291" s="24" t="s">
        <v>923</v>
      </c>
      <c r="E291" s="25" t="s">
        <v>924</v>
      </c>
      <c r="F291" s="22" t="s">
        <v>936</v>
      </c>
      <c r="G291" s="21" t="s">
        <v>782</v>
      </c>
      <c r="H291" s="21" t="s">
        <v>926</v>
      </c>
      <c r="I291" s="21" t="s">
        <v>937</v>
      </c>
      <c r="J291" s="22"/>
      <c r="K291" s="22"/>
      <c r="L291" s="22"/>
      <c r="M291" s="22"/>
      <c r="N291" s="22"/>
      <c r="O291" s="4">
        <f t="shared" si="4"/>
        <v>2</v>
      </c>
      <c r="P291" s="5" t="str">
        <f>IFERROR(VLOOKUP(O291,Principles!$B$4:$C$7,2,FALSE()),"")</f>
        <v>Operable</v>
      </c>
      <c r="Q291" s="6" t="str">
        <f>IFERROR(VLOOKUP(D291,Principles!$B$12:$D$66,3,FALSE()),"")</f>
        <v>AA</v>
      </c>
      <c r="R291" s="23" t="s">
        <v>928</v>
      </c>
    </row>
    <row r="292" spans="1:18" ht="129.6">
      <c r="A292" s="14" t="s">
        <v>938</v>
      </c>
      <c r="B292" s="15" t="s">
        <v>777</v>
      </c>
      <c r="C292" s="16" t="s">
        <v>778</v>
      </c>
      <c r="D292" s="24" t="s">
        <v>923</v>
      </c>
      <c r="E292" s="25" t="s">
        <v>924</v>
      </c>
      <c r="F292" s="22" t="s">
        <v>939</v>
      </c>
      <c r="G292" s="21" t="s">
        <v>782</v>
      </c>
      <c r="H292" s="21" t="s">
        <v>926</v>
      </c>
      <c r="I292" s="21" t="s">
        <v>940</v>
      </c>
      <c r="J292" s="22"/>
      <c r="K292" s="22"/>
      <c r="L292" s="22"/>
      <c r="M292" s="22"/>
      <c r="N292" s="22"/>
      <c r="O292" s="4">
        <f t="shared" si="4"/>
        <v>2</v>
      </c>
      <c r="P292" s="5" t="str">
        <f>IFERROR(VLOOKUP(O292,Principles!$B$4:$C$7,2,FALSE()),"")</f>
        <v>Operable</v>
      </c>
      <c r="Q292" s="6" t="str">
        <f>IFERROR(VLOOKUP(D292,Principles!$B$12:$D$66,3,FALSE()),"")</f>
        <v>AA</v>
      </c>
      <c r="R292" s="23" t="s">
        <v>928</v>
      </c>
    </row>
    <row r="293" spans="1:18" ht="86.45">
      <c r="A293" s="14" t="s">
        <v>941</v>
      </c>
      <c r="B293" s="15" t="s">
        <v>777</v>
      </c>
      <c r="C293" s="16" t="s">
        <v>778</v>
      </c>
      <c r="D293" s="24" t="s">
        <v>923</v>
      </c>
      <c r="E293" s="25" t="s">
        <v>924</v>
      </c>
      <c r="F293" s="22" t="s">
        <v>942</v>
      </c>
      <c r="G293" s="21" t="s">
        <v>782</v>
      </c>
      <c r="H293" s="21" t="s">
        <v>926</v>
      </c>
      <c r="I293" s="21" t="s">
        <v>943</v>
      </c>
      <c r="J293" s="22"/>
      <c r="K293" s="22"/>
      <c r="L293" s="22"/>
      <c r="M293" s="22"/>
      <c r="N293" s="22"/>
      <c r="O293" s="4">
        <f t="shared" si="4"/>
        <v>2</v>
      </c>
      <c r="P293" s="5" t="str">
        <f>IFERROR(VLOOKUP(O293,Principles!$B$4:$C$7,2,FALSE()),"")</f>
        <v>Operable</v>
      </c>
      <c r="Q293" s="6" t="str">
        <f>IFERROR(VLOOKUP(D293,Principles!$B$12:$D$66,3,FALSE()),"")</f>
        <v>AA</v>
      </c>
      <c r="R293" s="23" t="s">
        <v>928</v>
      </c>
    </row>
    <row r="294" spans="1:18" ht="115.15">
      <c r="A294" s="14" t="s">
        <v>666</v>
      </c>
      <c r="B294" s="15" t="s">
        <v>777</v>
      </c>
      <c r="C294" s="16" t="s">
        <v>778</v>
      </c>
      <c r="D294" s="24" t="s">
        <v>923</v>
      </c>
      <c r="E294" s="25" t="s">
        <v>924</v>
      </c>
      <c r="F294" s="22" t="s">
        <v>667</v>
      </c>
      <c r="G294" s="21" t="s">
        <v>782</v>
      </c>
      <c r="H294" s="21" t="s">
        <v>926</v>
      </c>
      <c r="I294" s="21" t="s">
        <v>668</v>
      </c>
      <c r="J294" s="22"/>
      <c r="K294" s="22"/>
      <c r="L294" s="22"/>
      <c r="M294" s="22"/>
      <c r="N294" s="22"/>
      <c r="O294" s="4">
        <f t="shared" si="4"/>
        <v>2</v>
      </c>
      <c r="P294" s="5" t="str">
        <f>IFERROR(VLOOKUP(O294,Principles!$B$4:$C$7,2,FALSE()),"")</f>
        <v>Operable</v>
      </c>
      <c r="Q294" s="6" t="str">
        <f>IFERROR(VLOOKUP(D294,Principles!$B$12:$D$66,3,FALSE()),"")</f>
        <v>AA</v>
      </c>
      <c r="R294" s="23" t="s">
        <v>928</v>
      </c>
    </row>
    <row r="295" spans="1:18" ht="115.15">
      <c r="A295" s="14" t="s">
        <v>609</v>
      </c>
      <c r="B295" s="15" t="s">
        <v>777</v>
      </c>
      <c r="C295" s="16" t="s">
        <v>778</v>
      </c>
      <c r="D295" s="24" t="s">
        <v>923</v>
      </c>
      <c r="E295" s="25" t="s">
        <v>924</v>
      </c>
      <c r="F295" s="22" t="s">
        <v>610</v>
      </c>
      <c r="G295" s="21" t="s">
        <v>782</v>
      </c>
      <c r="H295" s="21" t="s">
        <v>926</v>
      </c>
      <c r="I295" s="21" t="s">
        <v>611</v>
      </c>
      <c r="J295" s="22"/>
      <c r="K295" s="22"/>
      <c r="L295" s="22"/>
      <c r="M295" s="22"/>
      <c r="N295" s="22"/>
      <c r="O295" s="4">
        <f t="shared" si="4"/>
        <v>2</v>
      </c>
      <c r="P295" s="5" t="str">
        <f>IFERROR(VLOOKUP(O295,Principles!$B$4:$C$7,2,FALSE()),"")</f>
        <v>Operable</v>
      </c>
      <c r="Q295" s="6" t="str">
        <f>IFERROR(VLOOKUP(D295,Principles!$B$12:$D$66,3,FALSE()),"")</f>
        <v>AA</v>
      </c>
      <c r="R295" s="23" t="s">
        <v>928</v>
      </c>
    </row>
    <row r="296" spans="1:18" ht="100.9">
      <c r="A296" s="14" t="s">
        <v>944</v>
      </c>
      <c r="B296" s="15" t="s">
        <v>945</v>
      </c>
      <c r="C296" s="16" t="s">
        <v>946</v>
      </c>
      <c r="D296" s="24" t="s">
        <v>947</v>
      </c>
      <c r="E296" s="25" t="s">
        <v>948</v>
      </c>
      <c r="F296" s="22" t="s">
        <v>949</v>
      </c>
      <c r="G296" s="21" t="s">
        <v>950</v>
      </c>
      <c r="H296" s="21" t="s">
        <v>951</v>
      </c>
      <c r="I296" s="21" t="s">
        <v>952</v>
      </c>
      <c r="J296" s="22"/>
      <c r="K296" s="22"/>
      <c r="L296" s="22"/>
      <c r="M296" s="22"/>
      <c r="N296" s="22"/>
      <c r="O296" s="4">
        <f t="shared" si="4"/>
        <v>2</v>
      </c>
      <c r="P296" s="5" t="str">
        <f>IFERROR(VLOOKUP(O296,Principles!$B$4:$C$7,2,FALSE()),"")</f>
        <v>Operable</v>
      </c>
      <c r="Q296" s="6" t="str">
        <f>IFERROR(VLOOKUP(D296,Principles!$B$12:$D$66,3,FALSE()),"")</f>
        <v>A</v>
      </c>
      <c r="R296" s="23" t="s">
        <v>953</v>
      </c>
    </row>
    <row r="297" spans="1:18" ht="86.45">
      <c r="A297" s="14" t="s">
        <v>954</v>
      </c>
      <c r="B297" s="15" t="s">
        <v>945</v>
      </c>
      <c r="C297" s="16" t="s">
        <v>946</v>
      </c>
      <c r="D297" s="24" t="s">
        <v>947</v>
      </c>
      <c r="E297" s="25" t="s">
        <v>948</v>
      </c>
      <c r="F297" s="22" t="s">
        <v>955</v>
      </c>
      <c r="G297" s="21" t="s">
        <v>950</v>
      </c>
      <c r="H297" s="21" t="s">
        <v>951</v>
      </c>
      <c r="I297" s="21" t="s">
        <v>956</v>
      </c>
      <c r="J297" s="22"/>
      <c r="K297" s="22"/>
      <c r="L297" s="22"/>
      <c r="M297" s="22"/>
      <c r="N297" s="22"/>
      <c r="O297" s="4">
        <f t="shared" si="4"/>
        <v>2</v>
      </c>
      <c r="P297" s="5" t="str">
        <f>IFERROR(VLOOKUP(O297,Principles!$B$4:$C$7,2,FALSE()),"")</f>
        <v>Operable</v>
      </c>
      <c r="Q297" s="6" t="str">
        <f>IFERROR(VLOOKUP(D297,Principles!$B$12:$D$66,3,FALSE()),"")</f>
        <v>A</v>
      </c>
      <c r="R297" s="23" t="s">
        <v>953</v>
      </c>
    </row>
    <row r="298" spans="1:18" ht="129.6">
      <c r="A298" s="14" t="s">
        <v>957</v>
      </c>
      <c r="B298" s="15" t="s">
        <v>945</v>
      </c>
      <c r="C298" s="16" t="s">
        <v>946</v>
      </c>
      <c r="D298" s="24" t="s">
        <v>947</v>
      </c>
      <c r="E298" s="25" t="s">
        <v>948</v>
      </c>
      <c r="F298" s="22" t="s">
        <v>958</v>
      </c>
      <c r="G298" s="21" t="s">
        <v>950</v>
      </c>
      <c r="H298" s="21" t="s">
        <v>951</v>
      </c>
      <c r="I298" s="21" t="s">
        <v>959</v>
      </c>
      <c r="J298" s="22"/>
      <c r="K298" s="22"/>
      <c r="L298" s="22"/>
      <c r="M298" s="22"/>
      <c r="N298" s="22"/>
      <c r="O298" s="4">
        <f t="shared" si="4"/>
        <v>2</v>
      </c>
      <c r="P298" s="5" t="str">
        <f>IFERROR(VLOOKUP(O298,Principles!$B$4:$C$7,2,FALSE()),"")</f>
        <v>Operable</v>
      </c>
      <c r="Q298" s="6" t="str">
        <f>IFERROR(VLOOKUP(D298,Principles!$B$12:$D$66,3,FALSE()),"")</f>
        <v>A</v>
      </c>
      <c r="R298" s="23" t="s">
        <v>953</v>
      </c>
    </row>
    <row r="299" spans="1:18" ht="132">
      <c r="A299" s="14" t="s">
        <v>960</v>
      </c>
      <c r="B299" s="15" t="s">
        <v>945</v>
      </c>
      <c r="C299" s="16" t="s">
        <v>946</v>
      </c>
      <c r="D299" s="24" t="s">
        <v>961</v>
      </c>
      <c r="E299" s="25" t="s">
        <v>962</v>
      </c>
      <c r="F299" s="22" t="s">
        <v>963</v>
      </c>
      <c r="G299" s="21" t="s">
        <v>950</v>
      </c>
      <c r="H299" s="21" t="s">
        <v>964</v>
      </c>
      <c r="I299" s="21" t="s">
        <v>965</v>
      </c>
      <c r="J299" s="22"/>
      <c r="K299" s="22"/>
      <c r="L299" s="22"/>
      <c r="M299" s="22"/>
      <c r="N299" s="22"/>
      <c r="O299" s="4">
        <f t="shared" si="4"/>
        <v>2</v>
      </c>
      <c r="P299" s="5" t="str">
        <f>IFERROR(VLOOKUP(O299,Principles!$B$4:$C$7,2,FALSE()),"")</f>
        <v>Operable</v>
      </c>
      <c r="Q299" s="6" t="str">
        <f>IFERROR(VLOOKUP(D299,Principles!$B$12:$D$66,3,FALSE()),"")</f>
        <v>A</v>
      </c>
      <c r="R299" s="23" t="s">
        <v>966</v>
      </c>
    </row>
    <row r="300" spans="1:18" ht="132">
      <c r="A300" s="14" t="s">
        <v>967</v>
      </c>
      <c r="B300" s="15" t="s">
        <v>945</v>
      </c>
      <c r="C300" s="16" t="s">
        <v>946</v>
      </c>
      <c r="D300" s="24" t="s">
        <v>961</v>
      </c>
      <c r="E300" s="25" t="s">
        <v>962</v>
      </c>
      <c r="F300" s="22" t="s">
        <v>968</v>
      </c>
      <c r="G300" s="21" t="s">
        <v>950</v>
      </c>
      <c r="H300" s="21" t="s">
        <v>964</v>
      </c>
      <c r="I300" s="21" t="s">
        <v>969</v>
      </c>
      <c r="J300" s="22"/>
      <c r="K300" s="22"/>
      <c r="L300" s="22"/>
      <c r="M300" s="22"/>
      <c r="N300" s="22"/>
      <c r="O300" s="4">
        <f t="shared" si="4"/>
        <v>2</v>
      </c>
      <c r="P300" s="5" t="str">
        <f>IFERROR(VLOOKUP(O300,Principles!$B$4:$C$7,2,FALSE()),"")</f>
        <v>Operable</v>
      </c>
      <c r="Q300" s="6" t="str">
        <f>IFERROR(VLOOKUP(D300,Principles!$B$12:$D$66,3,FALSE()),"")</f>
        <v>A</v>
      </c>
      <c r="R300" s="23" t="s">
        <v>966</v>
      </c>
    </row>
    <row r="301" spans="1:18" ht="259.14999999999998">
      <c r="A301" s="14" t="s">
        <v>970</v>
      </c>
      <c r="B301" s="15" t="s">
        <v>945</v>
      </c>
      <c r="C301" s="16" t="s">
        <v>946</v>
      </c>
      <c r="D301" s="24" t="s">
        <v>961</v>
      </c>
      <c r="E301" s="25" t="s">
        <v>962</v>
      </c>
      <c r="F301" s="22" t="s">
        <v>971</v>
      </c>
      <c r="G301" s="21" t="s">
        <v>950</v>
      </c>
      <c r="H301" s="21" t="s">
        <v>964</v>
      </c>
      <c r="I301" s="21" t="s">
        <v>972</v>
      </c>
      <c r="J301" s="22"/>
      <c r="K301" s="22"/>
      <c r="L301" s="22"/>
      <c r="M301" s="22"/>
      <c r="N301" s="22"/>
      <c r="O301" s="4">
        <f t="shared" si="4"/>
        <v>2</v>
      </c>
      <c r="P301" s="5" t="str">
        <f>IFERROR(VLOOKUP(O301,Principles!$B$4:$C$7,2,FALSE()),"")</f>
        <v>Operable</v>
      </c>
      <c r="Q301" s="6" t="str">
        <f>IFERROR(VLOOKUP(D301,Principles!$B$12:$D$66,3,FALSE()),"")</f>
        <v>A</v>
      </c>
      <c r="R301" s="23" t="s">
        <v>966</v>
      </c>
    </row>
    <row r="302" spans="1:18" ht="100.9">
      <c r="A302" s="14" t="s">
        <v>973</v>
      </c>
      <c r="B302" s="15" t="s">
        <v>945</v>
      </c>
      <c r="C302" s="16" t="s">
        <v>946</v>
      </c>
      <c r="D302" s="24" t="s">
        <v>974</v>
      </c>
      <c r="E302" s="25" t="s">
        <v>975</v>
      </c>
      <c r="F302" s="22" t="s">
        <v>976</v>
      </c>
      <c r="G302" s="21" t="s">
        <v>950</v>
      </c>
      <c r="H302" s="21" t="s">
        <v>977</v>
      </c>
      <c r="I302" s="21" t="s">
        <v>978</v>
      </c>
      <c r="J302" s="22"/>
      <c r="K302" s="22"/>
      <c r="L302" s="22"/>
      <c r="M302" s="22"/>
      <c r="N302" s="22"/>
      <c r="O302" s="4">
        <f t="shared" si="4"/>
        <v>2</v>
      </c>
      <c r="P302" s="5" t="str">
        <f>IFERROR(VLOOKUP(O302,Principles!$B$4:$C$7,2,FALSE()),"")</f>
        <v>Operable</v>
      </c>
      <c r="Q302" s="6" t="str">
        <f>IFERROR(VLOOKUP(D302,Principles!$B$12:$D$66,3,FALSE()),"")</f>
        <v>A</v>
      </c>
      <c r="R302" s="23" t="s">
        <v>979</v>
      </c>
    </row>
    <row r="303" spans="1:18" ht="86.45">
      <c r="A303" s="14" t="s">
        <v>980</v>
      </c>
      <c r="B303" s="15" t="s">
        <v>945</v>
      </c>
      <c r="C303" s="16" t="s">
        <v>946</v>
      </c>
      <c r="D303" s="24" t="s">
        <v>974</v>
      </c>
      <c r="E303" s="25" t="s">
        <v>975</v>
      </c>
      <c r="F303" s="22" t="s">
        <v>981</v>
      </c>
      <c r="G303" s="21" t="s">
        <v>950</v>
      </c>
      <c r="H303" s="21" t="s">
        <v>977</v>
      </c>
      <c r="I303" s="21" t="s">
        <v>982</v>
      </c>
      <c r="J303" s="22"/>
      <c r="K303" s="22"/>
      <c r="L303" s="22"/>
      <c r="M303" s="22"/>
      <c r="N303" s="22"/>
      <c r="O303" s="4">
        <f t="shared" si="4"/>
        <v>2</v>
      </c>
      <c r="P303" s="5" t="str">
        <f>IFERROR(VLOOKUP(O303,Principles!$B$4:$C$7,2,FALSE()),"")</f>
        <v>Operable</v>
      </c>
      <c r="Q303" s="6" t="str">
        <f>IFERROR(VLOOKUP(D303,Principles!$B$12:$D$66,3,FALSE()),"")</f>
        <v>A</v>
      </c>
      <c r="R303" s="23" t="s">
        <v>979</v>
      </c>
    </row>
    <row r="304" spans="1:18" ht="158.44999999999999">
      <c r="A304" s="14" t="s">
        <v>983</v>
      </c>
      <c r="B304" s="15" t="s">
        <v>945</v>
      </c>
      <c r="C304" s="16" t="s">
        <v>946</v>
      </c>
      <c r="D304" s="24" t="s">
        <v>974</v>
      </c>
      <c r="E304" s="25" t="s">
        <v>975</v>
      </c>
      <c r="F304" s="22" t="s">
        <v>984</v>
      </c>
      <c r="G304" s="21" t="s">
        <v>950</v>
      </c>
      <c r="H304" s="21" t="s">
        <v>977</v>
      </c>
      <c r="I304" s="21" t="s">
        <v>985</v>
      </c>
      <c r="J304" s="22"/>
      <c r="K304" s="22"/>
      <c r="L304" s="22"/>
      <c r="M304" s="22"/>
      <c r="N304" s="22"/>
      <c r="O304" s="4">
        <f t="shared" si="4"/>
        <v>2</v>
      </c>
      <c r="P304" s="5" t="str">
        <f>IFERROR(VLOOKUP(O304,Principles!$B$4:$C$7,2,FALSE()),"")</f>
        <v>Operable</v>
      </c>
      <c r="Q304" s="6" t="str">
        <f>IFERROR(VLOOKUP(D304,Principles!$B$12:$D$66,3,FALSE()),"")</f>
        <v>A</v>
      </c>
      <c r="R304" s="23" t="s">
        <v>979</v>
      </c>
    </row>
    <row r="305" spans="1:18" ht="172.9">
      <c r="A305" s="14" t="s">
        <v>372</v>
      </c>
      <c r="B305" s="15" t="s">
        <v>945</v>
      </c>
      <c r="C305" s="16" t="s">
        <v>946</v>
      </c>
      <c r="D305" s="24" t="s">
        <v>974</v>
      </c>
      <c r="E305" s="25" t="s">
        <v>975</v>
      </c>
      <c r="F305" s="22" t="s">
        <v>373</v>
      </c>
      <c r="G305" s="21" t="s">
        <v>950</v>
      </c>
      <c r="H305" s="21" t="s">
        <v>977</v>
      </c>
      <c r="I305" s="21" t="s">
        <v>374</v>
      </c>
      <c r="J305" s="22"/>
      <c r="K305" s="22"/>
      <c r="L305" s="22"/>
      <c r="M305" s="22"/>
      <c r="N305" s="22"/>
      <c r="O305" s="4">
        <f t="shared" si="4"/>
        <v>2</v>
      </c>
      <c r="P305" s="5" t="str">
        <f>IFERROR(VLOOKUP(O305,Principles!$B$4:$C$7,2,FALSE()),"")</f>
        <v>Operable</v>
      </c>
      <c r="Q305" s="6" t="str">
        <f>IFERROR(VLOOKUP(D305,Principles!$B$12:$D$66,3,FALSE()),"")</f>
        <v>A</v>
      </c>
      <c r="R305" s="23" t="s">
        <v>979</v>
      </c>
    </row>
    <row r="306" spans="1:18" ht="129.6">
      <c r="A306" s="14" t="s">
        <v>986</v>
      </c>
      <c r="B306" s="15" t="s">
        <v>945</v>
      </c>
      <c r="C306" s="16" t="s">
        <v>946</v>
      </c>
      <c r="D306" s="24" t="s">
        <v>987</v>
      </c>
      <c r="E306" s="25" t="s">
        <v>988</v>
      </c>
      <c r="F306" s="22" t="s">
        <v>989</v>
      </c>
      <c r="G306" s="21" t="s">
        <v>950</v>
      </c>
      <c r="H306" s="21" t="s">
        <v>990</v>
      </c>
      <c r="I306" s="21" t="s">
        <v>991</v>
      </c>
      <c r="J306" s="22"/>
      <c r="K306" s="22"/>
      <c r="L306" s="22"/>
      <c r="M306" s="22"/>
      <c r="N306" s="22"/>
      <c r="O306" s="4">
        <f t="shared" si="4"/>
        <v>2</v>
      </c>
      <c r="P306" s="5" t="str">
        <f>IFERROR(VLOOKUP(O306,Principles!$B$4:$C$7,2,FALSE()),"")</f>
        <v>Operable</v>
      </c>
      <c r="Q306" s="6" t="str">
        <f>IFERROR(VLOOKUP(D306,Principles!$B$12:$D$66,3,FALSE()),"")</f>
        <v>A</v>
      </c>
      <c r="R306" s="23" t="s">
        <v>992</v>
      </c>
    </row>
    <row r="307" spans="1:18" ht="129.6">
      <c r="A307" s="14" t="s">
        <v>993</v>
      </c>
      <c r="B307" s="15" t="s">
        <v>945</v>
      </c>
      <c r="C307" s="16" t="s">
        <v>946</v>
      </c>
      <c r="D307" s="24" t="s">
        <v>987</v>
      </c>
      <c r="E307" s="25" t="s">
        <v>988</v>
      </c>
      <c r="F307" s="22" t="s">
        <v>994</v>
      </c>
      <c r="G307" s="21" t="s">
        <v>950</v>
      </c>
      <c r="H307" s="21" t="s">
        <v>990</v>
      </c>
      <c r="I307" s="21" t="s">
        <v>995</v>
      </c>
      <c r="J307" s="22"/>
      <c r="K307" s="22"/>
      <c r="L307" s="22"/>
      <c r="M307" s="22"/>
      <c r="N307" s="22"/>
      <c r="O307" s="4">
        <f t="shared" si="4"/>
        <v>2</v>
      </c>
      <c r="P307" s="5" t="str">
        <f>IFERROR(VLOOKUP(O307,Principles!$B$4:$C$7,2,FALSE()),"")</f>
        <v>Operable</v>
      </c>
      <c r="Q307" s="6" t="str">
        <f>IFERROR(VLOOKUP(D307,Principles!$B$12:$D$66,3,FALSE()),"")</f>
        <v>A</v>
      </c>
      <c r="R307" s="23" t="s">
        <v>992</v>
      </c>
    </row>
    <row r="308" spans="1:18" ht="115.15">
      <c r="A308" s="14" t="s">
        <v>996</v>
      </c>
      <c r="B308" s="15" t="s">
        <v>997</v>
      </c>
      <c r="C308" s="16" t="s">
        <v>998</v>
      </c>
      <c r="D308" s="24" t="s">
        <v>999</v>
      </c>
      <c r="E308" s="25" t="s">
        <v>1000</v>
      </c>
      <c r="F308" s="22" t="s">
        <v>1001</v>
      </c>
      <c r="G308" s="21" t="s">
        <v>1002</v>
      </c>
      <c r="H308" s="21" t="s">
        <v>1003</v>
      </c>
      <c r="I308" s="21" t="s">
        <v>1004</v>
      </c>
      <c r="J308" s="22"/>
      <c r="K308" s="22"/>
      <c r="L308" s="22"/>
      <c r="M308" s="22"/>
      <c r="N308" s="22"/>
      <c r="O308" s="4">
        <f t="shared" si="4"/>
        <v>3</v>
      </c>
      <c r="P308" s="5" t="str">
        <f>IFERROR(VLOOKUP(O308,Principles!$B$4:$C$7,2,FALSE()),"")</f>
        <v>Understandable</v>
      </c>
      <c r="Q308" s="6" t="str">
        <f>IFERROR(VLOOKUP(D308,Principles!$B$12:$D$66,3,FALSE()),"")</f>
        <v>A</v>
      </c>
      <c r="R308" s="23" t="s">
        <v>1005</v>
      </c>
    </row>
    <row r="309" spans="1:18" ht="216">
      <c r="A309" s="14" t="s">
        <v>1006</v>
      </c>
      <c r="B309" s="15" t="s">
        <v>997</v>
      </c>
      <c r="C309" s="16" t="s">
        <v>998</v>
      </c>
      <c r="D309" s="24" t="s">
        <v>999</v>
      </c>
      <c r="E309" s="25" t="s">
        <v>1000</v>
      </c>
      <c r="F309" s="22" t="s">
        <v>1007</v>
      </c>
      <c r="G309" s="21" t="s">
        <v>1002</v>
      </c>
      <c r="H309" s="21" t="s">
        <v>1003</v>
      </c>
      <c r="I309" s="21" t="s">
        <v>1008</v>
      </c>
      <c r="J309" s="22"/>
      <c r="K309" s="22"/>
      <c r="L309" s="22"/>
      <c r="M309" s="22"/>
      <c r="N309" s="22"/>
      <c r="O309" s="4">
        <f t="shared" si="4"/>
        <v>3</v>
      </c>
      <c r="P309" s="5" t="str">
        <f>IFERROR(VLOOKUP(O309,Principles!$B$4:$C$7,2,FALSE()),"")</f>
        <v>Understandable</v>
      </c>
      <c r="Q309" s="6" t="str">
        <f>IFERROR(VLOOKUP(D309,Principles!$B$12:$D$66,3,FALSE()),"")</f>
        <v>A</v>
      </c>
      <c r="R309" s="23" t="s">
        <v>1005</v>
      </c>
    </row>
    <row r="310" spans="1:18" ht="302.45">
      <c r="A310" s="14" t="s">
        <v>1009</v>
      </c>
      <c r="B310" s="15" t="s">
        <v>997</v>
      </c>
      <c r="C310" s="16" t="s">
        <v>998</v>
      </c>
      <c r="D310" s="24" t="s">
        <v>999</v>
      </c>
      <c r="E310" s="25" t="s">
        <v>1000</v>
      </c>
      <c r="F310" s="22" t="s">
        <v>1010</v>
      </c>
      <c r="G310" s="21" t="s">
        <v>1002</v>
      </c>
      <c r="H310" s="21" t="s">
        <v>1003</v>
      </c>
      <c r="I310" s="21" t="s">
        <v>1011</v>
      </c>
      <c r="J310" s="22"/>
      <c r="K310" s="22"/>
      <c r="L310" s="22"/>
      <c r="M310" s="22"/>
      <c r="N310" s="22"/>
      <c r="O310" s="4">
        <f t="shared" si="4"/>
        <v>3</v>
      </c>
      <c r="P310" s="5" t="str">
        <f>IFERROR(VLOOKUP(O310,Principles!$B$4:$C$7,2,FALSE()),"")</f>
        <v>Understandable</v>
      </c>
      <c r="Q310" s="6" t="str">
        <f>IFERROR(VLOOKUP(D310,Principles!$B$12:$D$66,3,FALSE()),"")</f>
        <v>A</v>
      </c>
      <c r="R310" s="23" t="s">
        <v>1005</v>
      </c>
    </row>
    <row r="311" spans="1:18" ht="201.6">
      <c r="A311" s="14" t="s">
        <v>1012</v>
      </c>
      <c r="B311" s="15" t="s">
        <v>997</v>
      </c>
      <c r="C311" s="16" t="s">
        <v>998</v>
      </c>
      <c r="D311" s="24" t="s">
        <v>1013</v>
      </c>
      <c r="E311" s="25" t="s">
        <v>1014</v>
      </c>
      <c r="F311" s="22" t="s">
        <v>1015</v>
      </c>
      <c r="G311" s="21" t="s">
        <v>1002</v>
      </c>
      <c r="H311" s="21" t="s">
        <v>1016</v>
      </c>
      <c r="I311" s="21" t="s">
        <v>1017</v>
      </c>
      <c r="J311" s="22"/>
      <c r="K311" s="22"/>
      <c r="L311" s="22"/>
      <c r="M311" s="22"/>
      <c r="N311" s="22"/>
      <c r="O311" s="4">
        <f t="shared" si="4"/>
        <v>3</v>
      </c>
      <c r="P311" s="5" t="str">
        <f>IFERROR(VLOOKUP(O311,Principles!$B$4:$C$7,2,FALSE()),"")</f>
        <v>Understandable</v>
      </c>
      <c r="Q311" s="6" t="str">
        <f>IFERROR(VLOOKUP(D311,Principles!$B$12:$D$66,3,FALSE()),"")</f>
        <v>AA</v>
      </c>
      <c r="R311" s="23" t="s">
        <v>1018</v>
      </c>
    </row>
    <row r="312" spans="1:18" ht="302.45">
      <c r="A312" s="14" t="s">
        <v>1009</v>
      </c>
      <c r="B312" s="15" t="s">
        <v>997</v>
      </c>
      <c r="C312" s="16" t="s">
        <v>998</v>
      </c>
      <c r="D312" s="24" t="s">
        <v>1013</v>
      </c>
      <c r="E312" s="25" t="s">
        <v>1014</v>
      </c>
      <c r="F312" s="22" t="s">
        <v>1010</v>
      </c>
      <c r="G312" s="21" t="s">
        <v>1002</v>
      </c>
      <c r="H312" s="21" t="s">
        <v>1016</v>
      </c>
      <c r="I312" s="21" t="s">
        <v>1011</v>
      </c>
      <c r="J312" s="22"/>
      <c r="K312" s="22"/>
      <c r="L312" s="22"/>
      <c r="M312" s="22"/>
      <c r="N312" s="22"/>
      <c r="O312" s="4">
        <f t="shared" si="4"/>
        <v>3</v>
      </c>
      <c r="P312" s="5" t="str">
        <f>IFERROR(VLOOKUP(O312,Principles!$B$4:$C$7,2,FALSE()),"")</f>
        <v>Understandable</v>
      </c>
      <c r="Q312" s="6" t="str">
        <f>IFERROR(VLOOKUP(D312,Principles!$B$12:$D$66,3,FALSE()),"")</f>
        <v>AA</v>
      </c>
      <c r="R312" s="23" t="s">
        <v>1018</v>
      </c>
    </row>
    <row r="313" spans="1:18" ht="100.9">
      <c r="A313" s="14" t="s">
        <v>1019</v>
      </c>
      <c r="B313" s="15" t="s">
        <v>1020</v>
      </c>
      <c r="C313" s="16" t="s">
        <v>1021</v>
      </c>
      <c r="D313" s="24" t="s">
        <v>1022</v>
      </c>
      <c r="E313" s="25" t="s">
        <v>1023</v>
      </c>
      <c r="F313" s="22" t="s">
        <v>1024</v>
      </c>
      <c r="G313" s="21" t="s">
        <v>1025</v>
      </c>
      <c r="H313" s="21" t="s">
        <v>1026</v>
      </c>
      <c r="I313" s="21" t="s">
        <v>1027</v>
      </c>
      <c r="J313" s="22"/>
      <c r="K313" s="22"/>
      <c r="L313" s="22"/>
      <c r="M313" s="22"/>
      <c r="N313" s="22"/>
      <c r="O313" s="4">
        <f t="shared" si="4"/>
        <v>3</v>
      </c>
      <c r="P313" s="5" t="str">
        <f>IFERROR(VLOOKUP(O313,Principles!$B$4:$C$7,2,FALSE()),"")</f>
        <v>Understandable</v>
      </c>
      <c r="Q313" s="6" t="str">
        <f>IFERROR(VLOOKUP(D313,Principles!$B$12:$D$66,3,FALSE()),"")</f>
        <v>A</v>
      </c>
      <c r="R313" s="23" t="s">
        <v>1028</v>
      </c>
    </row>
    <row r="314" spans="1:18" ht="115.15">
      <c r="A314" s="14" t="s">
        <v>666</v>
      </c>
      <c r="B314" s="15" t="s">
        <v>1020</v>
      </c>
      <c r="C314" s="16" t="s">
        <v>1021</v>
      </c>
      <c r="D314" s="24" t="s">
        <v>1022</v>
      </c>
      <c r="E314" s="25" t="s">
        <v>1023</v>
      </c>
      <c r="F314" s="22" t="s">
        <v>667</v>
      </c>
      <c r="G314" s="21" t="s">
        <v>1025</v>
      </c>
      <c r="H314" s="21" t="s">
        <v>1026</v>
      </c>
      <c r="I314" s="21" t="s">
        <v>668</v>
      </c>
      <c r="J314" s="22"/>
      <c r="K314" s="22"/>
      <c r="L314" s="22"/>
      <c r="M314" s="22"/>
      <c r="N314" s="22"/>
      <c r="O314" s="4">
        <f t="shared" si="4"/>
        <v>3</v>
      </c>
      <c r="P314" s="5" t="str">
        <f>IFERROR(VLOOKUP(O314,Principles!$B$4:$C$7,2,FALSE()),"")</f>
        <v>Understandable</v>
      </c>
      <c r="Q314" s="6" t="str">
        <f>IFERROR(VLOOKUP(D314,Principles!$B$12:$D$66,3,FALSE()),"")</f>
        <v>A</v>
      </c>
      <c r="R314" s="23" t="s">
        <v>1028</v>
      </c>
    </row>
    <row r="315" spans="1:18" ht="72">
      <c r="A315" s="14" t="s">
        <v>1029</v>
      </c>
      <c r="B315" s="15" t="s">
        <v>1020</v>
      </c>
      <c r="C315" s="16" t="s">
        <v>1021</v>
      </c>
      <c r="D315" s="24" t="s">
        <v>1030</v>
      </c>
      <c r="E315" s="25" t="s">
        <v>1031</v>
      </c>
      <c r="F315" s="22" t="s">
        <v>1032</v>
      </c>
      <c r="G315" s="21" t="s">
        <v>1025</v>
      </c>
      <c r="H315" s="21" t="s">
        <v>1033</v>
      </c>
      <c r="I315" s="21" t="s">
        <v>1034</v>
      </c>
      <c r="J315" s="22"/>
      <c r="K315" s="22"/>
      <c r="L315" s="22"/>
      <c r="M315" s="22"/>
      <c r="N315" s="22"/>
      <c r="O315" s="4">
        <f t="shared" si="4"/>
        <v>3</v>
      </c>
      <c r="P315" s="5" t="str">
        <f>IFERROR(VLOOKUP(O315,Principles!$B$4:$C$7,2,FALSE()),"")</f>
        <v>Understandable</v>
      </c>
      <c r="Q315" s="6" t="str">
        <f>IFERROR(VLOOKUP(D315,Principles!$B$12:$D$66,3,FALSE()),"")</f>
        <v>A</v>
      </c>
      <c r="R315" s="23" t="s">
        <v>1035</v>
      </c>
    </row>
    <row r="316" spans="1:18" ht="100.9">
      <c r="A316" s="14" t="s">
        <v>1036</v>
      </c>
      <c r="B316" s="15" t="s">
        <v>1020</v>
      </c>
      <c r="C316" s="16" t="s">
        <v>1021</v>
      </c>
      <c r="D316" s="24" t="s">
        <v>1030</v>
      </c>
      <c r="E316" s="25" t="s">
        <v>1031</v>
      </c>
      <c r="F316" s="22" t="s">
        <v>1037</v>
      </c>
      <c r="G316" s="21" t="s">
        <v>1025</v>
      </c>
      <c r="H316" s="21" t="s">
        <v>1033</v>
      </c>
      <c r="I316" s="21" t="s">
        <v>1038</v>
      </c>
      <c r="J316" s="22"/>
      <c r="K316" s="22"/>
      <c r="L316" s="22"/>
      <c r="M316" s="22"/>
      <c r="N316" s="22"/>
      <c r="O316" s="4">
        <f t="shared" si="4"/>
        <v>3</v>
      </c>
      <c r="P316" s="5" t="str">
        <f>IFERROR(VLOOKUP(O316,Principles!$B$4:$C$7,2,FALSE()),"")</f>
        <v>Understandable</v>
      </c>
      <c r="Q316" s="6" t="str">
        <f>IFERROR(VLOOKUP(D316,Principles!$B$12:$D$66,3,FALSE()),"")</f>
        <v>A</v>
      </c>
      <c r="R316" s="23" t="s">
        <v>1035</v>
      </c>
    </row>
    <row r="317" spans="1:18" ht="115.15">
      <c r="A317" s="14" t="s">
        <v>1039</v>
      </c>
      <c r="B317" s="15" t="s">
        <v>1020</v>
      </c>
      <c r="C317" s="16" t="s">
        <v>1021</v>
      </c>
      <c r="D317" s="24" t="s">
        <v>1030</v>
      </c>
      <c r="E317" s="25" t="s">
        <v>1031</v>
      </c>
      <c r="F317" s="22" t="s">
        <v>1040</v>
      </c>
      <c r="G317" s="21" t="s">
        <v>1025</v>
      </c>
      <c r="H317" s="21" t="s">
        <v>1033</v>
      </c>
      <c r="I317" s="21" t="s">
        <v>1041</v>
      </c>
      <c r="J317" s="22"/>
      <c r="K317" s="22"/>
      <c r="L317" s="22"/>
      <c r="M317" s="22"/>
      <c r="N317" s="22"/>
      <c r="O317" s="4">
        <f t="shared" si="4"/>
        <v>3</v>
      </c>
      <c r="P317" s="5" t="str">
        <f>IFERROR(VLOOKUP(O317,Principles!$B$4:$C$7,2,FALSE()),"")</f>
        <v>Understandable</v>
      </c>
      <c r="Q317" s="6" t="str">
        <f>IFERROR(VLOOKUP(D317,Principles!$B$12:$D$66,3,FALSE()),"")</f>
        <v>A</v>
      </c>
      <c r="R317" s="23" t="s">
        <v>1035</v>
      </c>
    </row>
    <row r="318" spans="1:18" ht="144">
      <c r="A318" s="14" t="s">
        <v>1042</v>
      </c>
      <c r="B318" s="15" t="s">
        <v>1020</v>
      </c>
      <c r="C318" s="16" t="s">
        <v>1021</v>
      </c>
      <c r="D318" s="24" t="s">
        <v>1030</v>
      </c>
      <c r="E318" s="25" t="s">
        <v>1031</v>
      </c>
      <c r="F318" s="22" t="s">
        <v>1043</v>
      </c>
      <c r="G318" s="21" t="s">
        <v>1025</v>
      </c>
      <c r="H318" s="21" t="s">
        <v>1033</v>
      </c>
      <c r="I318" s="21" t="s">
        <v>1044</v>
      </c>
      <c r="J318" s="22"/>
      <c r="K318" s="22"/>
      <c r="L318" s="22"/>
      <c r="M318" s="22"/>
      <c r="N318" s="22"/>
      <c r="O318" s="4">
        <f t="shared" si="4"/>
        <v>3</v>
      </c>
      <c r="P318" s="5" t="str">
        <f>IFERROR(VLOOKUP(O318,Principles!$B$4:$C$7,2,FALSE()),"")</f>
        <v>Understandable</v>
      </c>
      <c r="Q318" s="6" t="str">
        <f>IFERROR(VLOOKUP(D318,Principles!$B$12:$D$66,3,FALSE()),"")</f>
        <v>A</v>
      </c>
      <c r="R318" s="23" t="s">
        <v>1035</v>
      </c>
    </row>
    <row r="319" spans="1:18" ht="115.15">
      <c r="A319" s="14" t="s">
        <v>1045</v>
      </c>
      <c r="B319" s="15" t="s">
        <v>1020</v>
      </c>
      <c r="C319" s="16" t="s">
        <v>1021</v>
      </c>
      <c r="D319" s="24" t="s">
        <v>1030</v>
      </c>
      <c r="E319" s="25" t="s">
        <v>1031</v>
      </c>
      <c r="F319" s="22" t="s">
        <v>1046</v>
      </c>
      <c r="G319" s="21" t="s">
        <v>1025</v>
      </c>
      <c r="H319" s="21" t="s">
        <v>1033</v>
      </c>
      <c r="I319" s="21" t="s">
        <v>1047</v>
      </c>
      <c r="J319" s="22"/>
      <c r="K319" s="22"/>
      <c r="L319" s="22"/>
      <c r="M319" s="22"/>
      <c r="N319" s="22"/>
      <c r="O319" s="4">
        <f t="shared" si="4"/>
        <v>3</v>
      </c>
      <c r="P319" s="5" t="str">
        <f>IFERROR(VLOOKUP(O319,Principles!$B$4:$C$7,2,FALSE()),"")</f>
        <v>Understandable</v>
      </c>
      <c r="Q319" s="6" t="str">
        <f>IFERROR(VLOOKUP(D319,Principles!$B$12:$D$66,3,FALSE()),"")</f>
        <v>A</v>
      </c>
      <c r="R319" s="23" t="s">
        <v>1035</v>
      </c>
    </row>
    <row r="320" spans="1:18" ht="201.6">
      <c r="A320" s="14" t="s">
        <v>1048</v>
      </c>
      <c r="B320" s="15" t="s">
        <v>1020</v>
      </c>
      <c r="C320" s="16" t="s">
        <v>1021</v>
      </c>
      <c r="D320" s="24" t="s">
        <v>1030</v>
      </c>
      <c r="E320" s="25" t="s">
        <v>1031</v>
      </c>
      <c r="F320" s="22" t="s">
        <v>1049</v>
      </c>
      <c r="G320" s="21" t="s">
        <v>1025</v>
      </c>
      <c r="H320" s="21" t="s">
        <v>1033</v>
      </c>
      <c r="I320" s="21" t="s">
        <v>1050</v>
      </c>
      <c r="J320" s="22"/>
      <c r="K320" s="22"/>
      <c r="L320" s="22"/>
      <c r="M320" s="22"/>
      <c r="N320" s="22"/>
      <c r="O320" s="4">
        <f t="shared" si="4"/>
        <v>3</v>
      </c>
      <c r="P320" s="5" t="str">
        <f>IFERROR(VLOOKUP(O320,Principles!$B$4:$C$7,2,FALSE()),"")</f>
        <v>Understandable</v>
      </c>
      <c r="Q320" s="6" t="str">
        <f>IFERROR(VLOOKUP(D320,Principles!$B$12:$D$66,3,FALSE()),"")</f>
        <v>A</v>
      </c>
      <c r="R320" s="23" t="s">
        <v>1035</v>
      </c>
    </row>
    <row r="321" spans="1:18" ht="115.15">
      <c r="A321" s="14" t="s">
        <v>1051</v>
      </c>
      <c r="B321" s="15" t="s">
        <v>1020</v>
      </c>
      <c r="C321" s="16" t="s">
        <v>1021</v>
      </c>
      <c r="D321" s="24" t="s">
        <v>1030</v>
      </c>
      <c r="E321" s="25" t="s">
        <v>1031</v>
      </c>
      <c r="F321" s="22" t="s">
        <v>1052</v>
      </c>
      <c r="G321" s="21" t="s">
        <v>1025</v>
      </c>
      <c r="H321" s="21" t="s">
        <v>1033</v>
      </c>
      <c r="I321" s="21" t="s">
        <v>1053</v>
      </c>
      <c r="J321" s="22"/>
      <c r="K321" s="22"/>
      <c r="L321" s="22"/>
      <c r="M321" s="22"/>
      <c r="N321" s="22"/>
      <c r="O321" s="4">
        <f t="shared" si="4"/>
        <v>3</v>
      </c>
      <c r="P321" s="5" t="str">
        <f>IFERROR(VLOOKUP(O321,Principles!$B$4:$C$7,2,FALSE()),"")</f>
        <v>Understandable</v>
      </c>
      <c r="Q321" s="6" t="str">
        <f>IFERROR(VLOOKUP(D321,Principles!$B$12:$D$66,3,FALSE()),"")</f>
        <v>A</v>
      </c>
      <c r="R321" s="23" t="s">
        <v>1035</v>
      </c>
    </row>
    <row r="322" spans="1:18" ht="158.44999999999999">
      <c r="A322" s="14" t="s">
        <v>1054</v>
      </c>
      <c r="B322" s="15" t="s">
        <v>1020</v>
      </c>
      <c r="C322" s="16" t="s">
        <v>1021</v>
      </c>
      <c r="D322" s="24" t="s">
        <v>1030</v>
      </c>
      <c r="E322" s="25" t="s">
        <v>1031</v>
      </c>
      <c r="F322" s="22" t="s">
        <v>1055</v>
      </c>
      <c r="G322" s="21" t="s">
        <v>1025</v>
      </c>
      <c r="H322" s="21" t="s">
        <v>1033</v>
      </c>
      <c r="I322" s="21" t="s">
        <v>1056</v>
      </c>
      <c r="J322" s="22"/>
      <c r="K322" s="22"/>
      <c r="L322" s="22"/>
      <c r="M322" s="22"/>
      <c r="N322" s="22"/>
      <c r="O322" s="4">
        <f t="shared" ref="O322:O385" si="5">IFERROR(VALUE(LEFT(D322,FIND(".",D322)-1)),"")</f>
        <v>3</v>
      </c>
      <c r="P322" s="5" t="str">
        <f>IFERROR(VLOOKUP(O322,Principles!$B$4:$C$7,2,FALSE()),"")</f>
        <v>Understandable</v>
      </c>
      <c r="Q322" s="6" t="str">
        <f>IFERROR(VLOOKUP(D322,Principles!$B$12:$D$66,3,FALSE()),"")</f>
        <v>A</v>
      </c>
      <c r="R322" s="23" t="s">
        <v>1035</v>
      </c>
    </row>
    <row r="323" spans="1:18" ht="158.44999999999999">
      <c r="A323" s="14" t="s">
        <v>1057</v>
      </c>
      <c r="B323" s="15" t="s">
        <v>1020</v>
      </c>
      <c r="C323" s="16" t="s">
        <v>1021</v>
      </c>
      <c r="D323" s="24" t="s">
        <v>1058</v>
      </c>
      <c r="E323" s="25" t="s">
        <v>1059</v>
      </c>
      <c r="F323" s="22" t="s">
        <v>1060</v>
      </c>
      <c r="G323" s="21" t="s">
        <v>1025</v>
      </c>
      <c r="H323" s="21" t="s">
        <v>1061</v>
      </c>
      <c r="I323" s="21" t="s">
        <v>1062</v>
      </c>
      <c r="J323" s="22"/>
      <c r="K323" s="22"/>
      <c r="L323" s="22"/>
      <c r="M323" s="22"/>
      <c r="N323" s="22"/>
      <c r="O323" s="4">
        <f t="shared" si="5"/>
        <v>3</v>
      </c>
      <c r="P323" s="5" t="str">
        <f>IFERROR(VLOOKUP(O323,Principles!$B$4:$C$7,2,FALSE()),"")</f>
        <v>Understandable</v>
      </c>
      <c r="Q323" s="6" t="str">
        <f>IFERROR(VLOOKUP(D323,Principles!$B$12:$D$66,3,FALSE()),"")</f>
        <v>AA</v>
      </c>
      <c r="R323" s="23" t="s">
        <v>1063</v>
      </c>
    </row>
    <row r="324" spans="1:18" ht="129.6">
      <c r="A324" s="14" t="s">
        <v>1064</v>
      </c>
      <c r="B324" s="15" t="s">
        <v>1020</v>
      </c>
      <c r="C324" s="16" t="s">
        <v>1021</v>
      </c>
      <c r="D324" s="24" t="s">
        <v>1058</v>
      </c>
      <c r="E324" s="25" t="s">
        <v>1059</v>
      </c>
      <c r="F324" s="22" t="s">
        <v>1065</v>
      </c>
      <c r="G324" s="21" t="s">
        <v>1025</v>
      </c>
      <c r="H324" s="21" t="s">
        <v>1061</v>
      </c>
      <c r="I324" s="21" t="s">
        <v>1066</v>
      </c>
      <c r="J324" s="22"/>
      <c r="K324" s="22"/>
      <c r="L324" s="22"/>
      <c r="M324" s="22"/>
      <c r="N324" s="22"/>
      <c r="O324" s="4">
        <f t="shared" si="5"/>
        <v>3</v>
      </c>
      <c r="P324" s="5" t="str">
        <f>IFERROR(VLOOKUP(O324,Principles!$B$4:$C$7,2,FALSE()),"")</f>
        <v>Understandable</v>
      </c>
      <c r="Q324" s="6" t="str">
        <f>IFERROR(VLOOKUP(D324,Principles!$B$12:$D$66,3,FALSE()),"")</f>
        <v>AA</v>
      </c>
      <c r="R324" s="23" t="s">
        <v>1063</v>
      </c>
    </row>
    <row r="325" spans="1:18" ht="115.15">
      <c r="A325" s="14" t="s">
        <v>1067</v>
      </c>
      <c r="B325" s="15" t="s">
        <v>1020</v>
      </c>
      <c r="C325" s="16" t="s">
        <v>1021</v>
      </c>
      <c r="D325" s="24" t="s">
        <v>1068</v>
      </c>
      <c r="E325" s="25" t="s">
        <v>1069</v>
      </c>
      <c r="F325" s="22" t="s">
        <v>1070</v>
      </c>
      <c r="G325" s="21" t="s">
        <v>1025</v>
      </c>
      <c r="H325" s="21" t="s">
        <v>1071</v>
      </c>
      <c r="I325" s="21" t="s">
        <v>1072</v>
      </c>
      <c r="J325" s="22"/>
      <c r="K325" s="22"/>
      <c r="L325" s="22"/>
      <c r="M325" s="22"/>
      <c r="N325" s="22"/>
      <c r="O325" s="4">
        <f t="shared" si="5"/>
        <v>3</v>
      </c>
      <c r="P325" s="5" t="str">
        <f>IFERROR(VLOOKUP(O325,Principles!$B$4:$C$7,2,FALSE()),"")</f>
        <v>Understandable</v>
      </c>
      <c r="Q325" s="6" t="str">
        <f>IFERROR(VLOOKUP(D325,Principles!$B$12:$D$66,3,FALSE()),"")</f>
        <v>AA</v>
      </c>
      <c r="R325" s="23" t="s">
        <v>1073</v>
      </c>
    </row>
    <row r="326" spans="1:18" ht="129.6">
      <c r="A326" s="14" t="s">
        <v>1074</v>
      </c>
      <c r="B326" s="15" t="s">
        <v>1020</v>
      </c>
      <c r="C326" s="16" t="s">
        <v>1021</v>
      </c>
      <c r="D326" s="24" t="s">
        <v>1068</v>
      </c>
      <c r="E326" s="25" t="s">
        <v>1069</v>
      </c>
      <c r="F326" s="22" t="s">
        <v>1075</v>
      </c>
      <c r="G326" s="21" t="s">
        <v>1025</v>
      </c>
      <c r="H326" s="21" t="s">
        <v>1071</v>
      </c>
      <c r="I326" s="21" t="s">
        <v>1076</v>
      </c>
      <c r="J326" s="22"/>
      <c r="K326" s="22"/>
      <c r="L326" s="22"/>
      <c r="M326" s="22"/>
      <c r="N326" s="22"/>
      <c r="O326" s="4">
        <f t="shared" si="5"/>
        <v>3</v>
      </c>
      <c r="P326" s="5" t="str">
        <f>IFERROR(VLOOKUP(O326,Principles!$B$4:$C$7,2,FALSE()),"")</f>
        <v>Understandable</v>
      </c>
      <c r="Q326" s="6" t="str">
        <f>IFERROR(VLOOKUP(D326,Principles!$B$12:$D$66,3,FALSE()),"")</f>
        <v>AA</v>
      </c>
      <c r="R326" s="23" t="s">
        <v>1073</v>
      </c>
    </row>
    <row r="327" spans="1:18" ht="172.9">
      <c r="A327" s="14" t="s">
        <v>1077</v>
      </c>
      <c r="B327" s="15" t="s">
        <v>1078</v>
      </c>
      <c r="C327" s="16" t="s">
        <v>1079</v>
      </c>
      <c r="D327" s="24" t="s">
        <v>1080</v>
      </c>
      <c r="E327" s="25" t="s">
        <v>1081</v>
      </c>
      <c r="F327" s="22" t="s">
        <v>1082</v>
      </c>
      <c r="G327" s="21" t="s">
        <v>1083</v>
      </c>
      <c r="H327" s="21" t="s">
        <v>1084</v>
      </c>
      <c r="I327" s="21" t="s">
        <v>1085</v>
      </c>
      <c r="J327" s="22"/>
      <c r="K327" s="22"/>
      <c r="L327" s="22"/>
      <c r="M327" s="22"/>
      <c r="N327" s="22"/>
      <c r="O327" s="4">
        <f t="shared" si="5"/>
        <v>3</v>
      </c>
      <c r="P327" s="5" t="str">
        <f>IFERROR(VLOOKUP(O327,Principles!$B$4:$C$7,2,FALSE()),"")</f>
        <v>Understandable</v>
      </c>
      <c r="Q327" s="6" t="str">
        <f>IFERROR(VLOOKUP(D327,Principles!$B$12:$D$66,3,FALSE()),"")</f>
        <v>A</v>
      </c>
      <c r="R327" s="23" t="s">
        <v>1086</v>
      </c>
    </row>
    <row r="328" spans="1:18" ht="172.9">
      <c r="A328" s="14" t="s">
        <v>1087</v>
      </c>
      <c r="B328" s="15" t="s">
        <v>1078</v>
      </c>
      <c r="C328" s="16" t="s">
        <v>1079</v>
      </c>
      <c r="D328" s="24" t="s">
        <v>1080</v>
      </c>
      <c r="E328" s="25" t="s">
        <v>1081</v>
      </c>
      <c r="F328" s="22" t="s">
        <v>1088</v>
      </c>
      <c r="G328" s="21" t="s">
        <v>1083</v>
      </c>
      <c r="H328" s="21" t="s">
        <v>1084</v>
      </c>
      <c r="I328" s="21" t="s">
        <v>1089</v>
      </c>
      <c r="J328" s="22"/>
      <c r="K328" s="22"/>
      <c r="L328" s="22"/>
      <c r="M328" s="22"/>
      <c r="N328" s="22"/>
      <c r="O328" s="4">
        <f t="shared" si="5"/>
        <v>3</v>
      </c>
      <c r="P328" s="5" t="str">
        <f>IFERROR(VLOOKUP(O328,Principles!$B$4:$C$7,2,FALSE()),"")</f>
        <v>Understandable</v>
      </c>
      <c r="Q328" s="6" t="str">
        <f>IFERROR(VLOOKUP(D328,Principles!$B$12:$D$66,3,FALSE()),"")</f>
        <v>A</v>
      </c>
      <c r="R328" s="23" t="s">
        <v>1086</v>
      </c>
    </row>
    <row r="329" spans="1:18" ht="86.45">
      <c r="A329" s="14" t="s">
        <v>1090</v>
      </c>
      <c r="B329" s="15" t="s">
        <v>1078</v>
      </c>
      <c r="C329" s="16" t="s">
        <v>1079</v>
      </c>
      <c r="D329" s="24" t="s">
        <v>1080</v>
      </c>
      <c r="E329" s="25" t="s">
        <v>1081</v>
      </c>
      <c r="F329" s="22" t="s">
        <v>1091</v>
      </c>
      <c r="G329" s="21" t="s">
        <v>1083</v>
      </c>
      <c r="H329" s="21" t="s">
        <v>1084</v>
      </c>
      <c r="I329" s="21" t="s">
        <v>1092</v>
      </c>
      <c r="J329" s="22"/>
      <c r="K329" s="22"/>
      <c r="L329" s="22"/>
      <c r="M329" s="22"/>
      <c r="N329" s="22"/>
      <c r="O329" s="4">
        <f t="shared" si="5"/>
        <v>3</v>
      </c>
      <c r="P329" s="5" t="str">
        <f>IFERROR(VLOOKUP(O329,Principles!$B$4:$C$7,2,FALSE()),"")</f>
        <v>Understandable</v>
      </c>
      <c r="Q329" s="6" t="str">
        <f>IFERROR(VLOOKUP(D329,Principles!$B$12:$D$66,3,FALSE()),"")</f>
        <v>A</v>
      </c>
      <c r="R329" s="23" t="s">
        <v>1086</v>
      </c>
    </row>
    <row r="330" spans="1:18" ht="172.9">
      <c r="A330" s="14" t="s">
        <v>1093</v>
      </c>
      <c r="B330" s="15" t="s">
        <v>1078</v>
      </c>
      <c r="C330" s="16" t="s">
        <v>1079</v>
      </c>
      <c r="D330" s="24" t="s">
        <v>1080</v>
      </c>
      <c r="E330" s="25" t="s">
        <v>1081</v>
      </c>
      <c r="F330" s="22" t="s">
        <v>1094</v>
      </c>
      <c r="G330" s="21" t="s">
        <v>1083</v>
      </c>
      <c r="H330" s="21" t="s">
        <v>1084</v>
      </c>
      <c r="I330" s="21" t="s">
        <v>1095</v>
      </c>
      <c r="J330" s="22"/>
      <c r="K330" s="22"/>
      <c r="L330" s="22"/>
      <c r="M330" s="22"/>
      <c r="N330" s="22"/>
      <c r="O330" s="4">
        <f t="shared" si="5"/>
        <v>3</v>
      </c>
      <c r="P330" s="5" t="str">
        <f>IFERROR(VLOOKUP(O330,Principles!$B$4:$C$7,2,FALSE()),"")</f>
        <v>Understandable</v>
      </c>
      <c r="Q330" s="6" t="str">
        <f>IFERROR(VLOOKUP(D330,Principles!$B$12:$D$66,3,FALSE()),"")</f>
        <v>A</v>
      </c>
      <c r="R330" s="23" t="s">
        <v>1086</v>
      </c>
    </row>
    <row r="331" spans="1:18" ht="259.14999999999998">
      <c r="A331" s="14" t="s">
        <v>1096</v>
      </c>
      <c r="B331" s="15" t="s">
        <v>1078</v>
      </c>
      <c r="C331" s="16" t="s">
        <v>1079</v>
      </c>
      <c r="D331" s="24" t="s">
        <v>1080</v>
      </c>
      <c r="E331" s="25" t="s">
        <v>1081</v>
      </c>
      <c r="F331" s="22" t="s">
        <v>1097</v>
      </c>
      <c r="G331" s="21" t="s">
        <v>1083</v>
      </c>
      <c r="H331" s="21" t="s">
        <v>1084</v>
      </c>
      <c r="I331" s="21" t="s">
        <v>1098</v>
      </c>
      <c r="J331" s="22"/>
      <c r="K331" s="22"/>
      <c r="L331" s="22"/>
      <c r="M331" s="22"/>
      <c r="N331" s="22"/>
      <c r="O331" s="4">
        <f t="shared" si="5"/>
        <v>3</v>
      </c>
      <c r="P331" s="5" t="str">
        <f>IFERROR(VLOOKUP(O331,Principles!$B$4:$C$7,2,FALSE()),"")</f>
        <v>Understandable</v>
      </c>
      <c r="Q331" s="6" t="str">
        <f>IFERROR(VLOOKUP(D331,Principles!$B$12:$D$66,3,FALSE()),"")</f>
        <v>A</v>
      </c>
      <c r="R331" s="23" t="s">
        <v>1086</v>
      </c>
    </row>
    <row r="332" spans="1:18" ht="129.6">
      <c r="A332" s="14" t="s">
        <v>1099</v>
      </c>
      <c r="B332" s="15" t="s">
        <v>1078</v>
      </c>
      <c r="C332" s="16" t="s">
        <v>1079</v>
      </c>
      <c r="D332" s="24" t="s">
        <v>1080</v>
      </c>
      <c r="E332" s="25" t="s">
        <v>1081</v>
      </c>
      <c r="F332" s="22" t="s">
        <v>1100</v>
      </c>
      <c r="G332" s="21" t="s">
        <v>1083</v>
      </c>
      <c r="H332" s="21" t="s">
        <v>1084</v>
      </c>
      <c r="I332" s="21" t="s">
        <v>1101</v>
      </c>
      <c r="J332" s="22"/>
      <c r="K332" s="22"/>
      <c r="L332" s="22"/>
      <c r="M332" s="22"/>
      <c r="N332" s="22"/>
      <c r="O332" s="4">
        <f t="shared" si="5"/>
        <v>3</v>
      </c>
      <c r="P332" s="5" t="str">
        <f>IFERROR(VLOOKUP(O332,Principles!$B$4:$C$7,2,FALSE()),"")</f>
        <v>Understandable</v>
      </c>
      <c r="Q332" s="6" t="str">
        <f>IFERROR(VLOOKUP(D332,Principles!$B$12:$D$66,3,FALSE()),"")</f>
        <v>A</v>
      </c>
      <c r="R332" s="23" t="s">
        <v>1086</v>
      </c>
    </row>
    <row r="333" spans="1:18" ht="86.45">
      <c r="A333" s="14" t="s">
        <v>1102</v>
      </c>
      <c r="B333" s="15" t="s">
        <v>1078</v>
      </c>
      <c r="C333" s="16" t="s">
        <v>1079</v>
      </c>
      <c r="D333" s="24" t="s">
        <v>1080</v>
      </c>
      <c r="E333" s="25" t="s">
        <v>1081</v>
      </c>
      <c r="F333" s="22" t="s">
        <v>1103</v>
      </c>
      <c r="G333" s="21" t="s">
        <v>1083</v>
      </c>
      <c r="H333" s="21" t="s">
        <v>1084</v>
      </c>
      <c r="I333" s="21" t="s">
        <v>1104</v>
      </c>
      <c r="J333" s="22"/>
      <c r="K333" s="22"/>
      <c r="L333" s="22"/>
      <c r="M333" s="22"/>
      <c r="N333" s="22"/>
      <c r="O333" s="4">
        <f t="shared" si="5"/>
        <v>3</v>
      </c>
      <c r="P333" s="5" t="str">
        <f>IFERROR(VLOOKUP(O333,Principles!$B$4:$C$7,2,FALSE()),"")</f>
        <v>Understandable</v>
      </c>
      <c r="Q333" s="6" t="str">
        <f>IFERROR(VLOOKUP(D333,Principles!$B$12:$D$66,3,FALSE()),"")</f>
        <v>A</v>
      </c>
      <c r="R333" s="23" t="s">
        <v>1086</v>
      </c>
    </row>
    <row r="334" spans="1:18" ht="187.15">
      <c r="A334" s="14" t="s">
        <v>1105</v>
      </c>
      <c r="B334" s="15" t="s">
        <v>1078</v>
      </c>
      <c r="C334" s="16" t="s">
        <v>1079</v>
      </c>
      <c r="D334" s="24" t="s">
        <v>1080</v>
      </c>
      <c r="E334" s="25" t="s">
        <v>1081</v>
      </c>
      <c r="F334" s="22" t="s">
        <v>1106</v>
      </c>
      <c r="G334" s="21" t="s">
        <v>1083</v>
      </c>
      <c r="H334" s="21" t="s">
        <v>1084</v>
      </c>
      <c r="I334" s="21" t="s">
        <v>1107</v>
      </c>
      <c r="J334" s="22"/>
      <c r="K334" s="22"/>
      <c r="L334" s="22"/>
      <c r="M334" s="22"/>
      <c r="N334" s="22"/>
      <c r="O334" s="4">
        <f t="shared" si="5"/>
        <v>3</v>
      </c>
      <c r="P334" s="5" t="str">
        <f>IFERROR(VLOOKUP(O334,Principles!$B$4:$C$7,2,FALSE()),"")</f>
        <v>Understandable</v>
      </c>
      <c r="Q334" s="6" t="str">
        <f>IFERROR(VLOOKUP(D334,Principles!$B$12:$D$66,3,FALSE()),"")</f>
        <v>A</v>
      </c>
      <c r="R334" s="23" t="s">
        <v>1086</v>
      </c>
    </row>
    <row r="335" spans="1:18" ht="230.45">
      <c r="A335" s="14" t="s">
        <v>1108</v>
      </c>
      <c r="B335" s="15" t="s">
        <v>1078</v>
      </c>
      <c r="C335" s="16" t="s">
        <v>1079</v>
      </c>
      <c r="D335" s="24" t="s">
        <v>1080</v>
      </c>
      <c r="E335" s="25" t="s">
        <v>1081</v>
      </c>
      <c r="F335" s="22" t="s">
        <v>1109</v>
      </c>
      <c r="G335" s="21" t="s">
        <v>1083</v>
      </c>
      <c r="H335" s="21" t="s">
        <v>1084</v>
      </c>
      <c r="I335" s="21" t="s">
        <v>1110</v>
      </c>
      <c r="J335" s="22"/>
      <c r="K335" s="22"/>
      <c r="L335" s="22"/>
      <c r="M335" s="22"/>
      <c r="N335" s="22"/>
      <c r="O335" s="4">
        <f t="shared" si="5"/>
        <v>3</v>
      </c>
      <c r="P335" s="5" t="str">
        <f>IFERROR(VLOOKUP(O335,Principles!$B$4:$C$7,2,FALSE()),"")</f>
        <v>Understandable</v>
      </c>
      <c r="Q335" s="6" t="str">
        <f>IFERROR(VLOOKUP(D335,Principles!$B$12:$D$66,3,FALSE()),"")</f>
        <v>A</v>
      </c>
      <c r="R335" s="23" t="s">
        <v>1086</v>
      </c>
    </row>
    <row r="336" spans="1:18" ht="158.44999999999999">
      <c r="A336" s="14" t="s">
        <v>1111</v>
      </c>
      <c r="B336" s="15" t="s">
        <v>1078</v>
      </c>
      <c r="C336" s="16" t="s">
        <v>1079</v>
      </c>
      <c r="D336" s="24" t="s">
        <v>1080</v>
      </c>
      <c r="E336" s="25" t="s">
        <v>1081</v>
      </c>
      <c r="F336" s="22" t="s">
        <v>1112</v>
      </c>
      <c r="G336" s="21" t="s">
        <v>1083</v>
      </c>
      <c r="H336" s="21" t="s">
        <v>1084</v>
      </c>
      <c r="I336" s="21" t="s">
        <v>1113</v>
      </c>
      <c r="J336" s="22"/>
      <c r="K336" s="22"/>
      <c r="L336" s="22"/>
      <c r="M336" s="22"/>
      <c r="N336" s="22"/>
      <c r="O336" s="4">
        <f t="shared" si="5"/>
        <v>3</v>
      </c>
      <c r="P336" s="5" t="str">
        <f>IFERROR(VLOOKUP(O336,Principles!$B$4:$C$7,2,FALSE()),"")</f>
        <v>Understandable</v>
      </c>
      <c r="Q336" s="6" t="str">
        <f>IFERROR(VLOOKUP(D336,Principles!$B$12:$D$66,3,FALSE()),"")</f>
        <v>A</v>
      </c>
      <c r="R336" s="23" t="s">
        <v>1086</v>
      </c>
    </row>
    <row r="337" spans="1:18" ht="86.45">
      <c r="A337" s="14" t="s">
        <v>919</v>
      </c>
      <c r="B337" s="15" t="s">
        <v>1078</v>
      </c>
      <c r="C337" s="16" t="s">
        <v>1079</v>
      </c>
      <c r="D337" s="24" t="s">
        <v>1114</v>
      </c>
      <c r="E337" s="25" t="s">
        <v>1115</v>
      </c>
      <c r="F337" s="22" t="s">
        <v>920</v>
      </c>
      <c r="G337" s="21" t="s">
        <v>1083</v>
      </c>
      <c r="H337" s="21" t="s">
        <v>1116</v>
      </c>
      <c r="I337" s="21" t="s">
        <v>921</v>
      </c>
      <c r="J337" s="22"/>
      <c r="K337" s="22"/>
      <c r="L337" s="22"/>
      <c r="M337" s="22"/>
      <c r="N337" s="22"/>
      <c r="O337" s="4">
        <f t="shared" si="5"/>
        <v>3</v>
      </c>
      <c r="P337" s="5" t="str">
        <f>IFERROR(VLOOKUP(O337,Principles!$B$4:$C$7,2,FALSE()),"")</f>
        <v>Understandable</v>
      </c>
      <c r="Q337" s="6" t="str">
        <f>IFERROR(VLOOKUP(D337,Principles!$B$12:$D$66,3,FALSE()),"")</f>
        <v>A</v>
      </c>
      <c r="R337" s="23" t="s">
        <v>1117</v>
      </c>
    </row>
    <row r="338" spans="1:18" ht="129.6">
      <c r="A338" s="14" t="s">
        <v>1118</v>
      </c>
      <c r="B338" s="15" t="s">
        <v>1078</v>
      </c>
      <c r="C338" s="16" t="s">
        <v>1079</v>
      </c>
      <c r="D338" s="24" t="s">
        <v>1114</v>
      </c>
      <c r="E338" s="25" t="s">
        <v>1115</v>
      </c>
      <c r="F338" s="22" t="s">
        <v>1119</v>
      </c>
      <c r="G338" s="21" t="s">
        <v>1083</v>
      </c>
      <c r="H338" s="21" t="s">
        <v>1116</v>
      </c>
      <c r="I338" s="21" t="s">
        <v>1120</v>
      </c>
      <c r="J338" s="22"/>
      <c r="K338" s="22"/>
      <c r="L338" s="22"/>
      <c r="M338" s="22"/>
      <c r="N338" s="22"/>
      <c r="O338" s="4">
        <f t="shared" si="5"/>
        <v>3</v>
      </c>
      <c r="P338" s="5" t="str">
        <f>IFERROR(VLOOKUP(O338,Principles!$B$4:$C$7,2,FALSE()),"")</f>
        <v>Understandable</v>
      </c>
      <c r="Q338" s="6" t="str">
        <f>IFERROR(VLOOKUP(D338,Principles!$B$12:$D$66,3,FALSE()),"")</f>
        <v>A</v>
      </c>
      <c r="R338" s="23" t="s">
        <v>1117</v>
      </c>
    </row>
    <row r="339" spans="1:18" ht="100.9">
      <c r="A339" s="14" t="s">
        <v>1121</v>
      </c>
      <c r="B339" s="15" t="s">
        <v>1078</v>
      </c>
      <c r="C339" s="16" t="s">
        <v>1079</v>
      </c>
      <c r="D339" s="24" t="s">
        <v>1114</v>
      </c>
      <c r="E339" s="25" t="s">
        <v>1115</v>
      </c>
      <c r="F339" s="22" t="s">
        <v>1122</v>
      </c>
      <c r="G339" s="21" t="s">
        <v>1083</v>
      </c>
      <c r="H339" s="21" t="s">
        <v>1116</v>
      </c>
      <c r="I339" s="21" t="s">
        <v>1123</v>
      </c>
      <c r="J339" s="22"/>
      <c r="K339" s="22"/>
      <c r="L339" s="22"/>
      <c r="M339" s="22"/>
      <c r="N339" s="22"/>
      <c r="O339" s="4">
        <f t="shared" si="5"/>
        <v>3</v>
      </c>
      <c r="P339" s="5" t="str">
        <f>IFERROR(VLOOKUP(O339,Principles!$B$4:$C$7,2,FALSE()),"")</f>
        <v>Understandable</v>
      </c>
      <c r="Q339" s="6" t="str">
        <f>IFERROR(VLOOKUP(D339,Principles!$B$12:$D$66,3,FALSE()),"")</f>
        <v>A</v>
      </c>
      <c r="R339" s="23" t="s">
        <v>1117</v>
      </c>
    </row>
    <row r="340" spans="1:18" ht="144">
      <c r="A340" s="14" t="s">
        <v>61</v>
      </c>
      <c r="B340" s="15" t="s">
        <v>1078</v>
      </c>
      <c r="C340" s="16" t="s">
        <v>1079</v>
      </c>
      <c r="D340" s="24" t="s">
        <v>1114</v>
      </c>
      <c r="E340" s="25" t="s">
        <v>1115</v>
      </c>
      <c r="F340" s="22" t="s">
        <v>1124</v>
      </c>
      <c r="G340" s="21" t="s">
        <v>1083</v>
      </c>
      <c r="H340" s="21" t="s">
        <v>1116</v>
      </c>
      <c r="I340" s="21" t="s">
        <v>63</v>
      </c>
      <c r="J340" s="22"/>
      <c r="K340" s="22"/>
      <c r="L340" s="22"/>
      <c r="M340" s="22"/>
      <c r="N340" s="22"/>
      <c r="O340" s="4">
        <f t="shared" si="5"/>
        <v>3</v>
      </c>
      <c r="P340" s="5" t="str">
        <f>IFERROR(VLOOKUP(O340,Principles!$B$4:$C$7,2,FALSE()),"")</f>
        <v>Understandable</v>
      </c>
      <c r="Q340" s="6" t="str">
        <f>IFERROR(VLOOKUP(D340,Principles!$B$12:$D$66,3,FALSE()),"")</f>
        <v>A</v>
      </c>
      <c r="R340" s="23" t="s">
        <v>1117</v>
      </c>
    </row>
    <row r="341" spans="1:18" ht="172.9">
      <c r="A341" s="14" t="s">
        <v>256</v>
      </c>
      <c r="B341" s="15" t="s">
        <v>1078</v>
      </c>
      <c r="C341" s="16" t="s">
        <v>1079</v>
      </c>
      <c r="D341" s="24" t="s">
        <v>1114</v>
      </c>
      <c r="E341" s="25" t="s">
        <v>1115</v>
      </c>
      <c r="F341" s="22" t="s">
        <v>257</v>
      </c>
      <c r="G341" s="21" t="s">
        <v>1083</v>
      </c>
      <c r="H341" s="21" t="s">
        <v>1116</v>
      </c>
      <c r="I341" s="21" t="s">
        <v>258</v>
      </c>
      <c r="J341" s="22"/>
      <c r="K341" s="22"/>
      <c r="L341" s="22"/>
      <c r="M341" s="22"/>
      <c r="N341" s="22"/>
      <c r="O341" s="4">
        <f t="shared" si="5"/>
        <v>3</v>
      </c>
      <c r="P341" s="5" t="str">
        <f>IFERROR(VLOOKUP(O341,Principles!$B$4:$C$7,2,FALSE()),"")</f>
        <v>Understandable</v>
      </c>
      <c r="Q341" s="6" t="str">
        <f>IFERROR(VLOOKUP(D341,Principles!$B$12:$D$66,3,FALSE()),"")</f>
        <v>A</v>
      </c>
      <c r="R341" s="23" t="s">
        <v>1117</v>
      </c>
    </row>
    <row r="342" spans="1:18" ht="100.9">
      <c r="A342" s="14" t="s">
        <v>1125</v>
      </c>
      <c r="B342" s="15" t="s">
        <v>1078</v>
      </c>
      <c r="C342" s="16" t="s">
        <v>1079</v>
      </c>
      <c r="D342" s="24" t="s">
        <v>1114</v>
      </c>
      <c r="E342" s="25" t="s">
        <v>1115</v>
      </c>
      <c r="F342" s="22" t="s">
        <v>1126</v>
      </c>
      <c r="G342" s="21" t="s">
        <v>1083</v>
      </c>
      <c r="H342" s="21" t="s">
        <v>1116</v>
      </c>
      <c r="I342" s="21" t="s">
        <v>1127</v>
      </c>
      <c r="J342" s="22"/>
      <c r="K342" s="22"/>
      <c r="L342" s="22"/>
      <c r="M342" s="22"/>
      <c r="N342" s="22"/>
      <c r="O342" s="4">
        <f t="shared" si="5"/>
        <v>3</v>
      </c>
      <c r="P342" s="5" t="str">
        <f>IFERROR(VLOOKUP(O342,Principles!$B$4:$C$7,2,FALSE()),"")</f>
        <v>Understandable</v>
      </c>
      <c r="Q342" s="6" t="str">
        <f>IFERROR(VLOOKUP(D342,Principles!$B$12:$D$66,3,FALSE()),"")</f>
        <v>A</v>
      </c>
      <c r="R342" s="23" t="s">
        <v>1117</v>
      </c>
    </row>
    <row r="343" spans="1:18" ht="129.6">
      <c r="A343" s="14" t="s">
        <v>1128</v>
      </c>
      <c r="B343" s="15" t="s">
        <v>1078</v>
      </c>
      <c r="C343" s="16" t="s">
        <v>1079</v>
      </c>
      <c r="D343" s="24" t="s">
        <v>1114</v>
      </c>
      <c r="E343" s="25" t="s">
        <v>1115</v>
      </c>
      <c r="F343" s="22" t="s">
        <v>1129</v>
      </c>
      <c r="G343" s="21" t="s">
        <v>1083</v>
      </c>
      <c r="H343" s="21" t="s">
        <v>1116</v>
      </c>
      <c r="I343" s="21" t="s">
        <v>1130</v>
      </c>
      <c r="J343" s="22"/>
      <c r="K343" s="22"/>
      <c r="L343" s="22"/>
      <c r="M343" s="22"/>
      <c r="N343" s="22"/>
      <c r="O343" s="4">
        <f t="shared" si="5"/>
        <v>3</v>
      </c>
      <c r="P343" s="5" t="str">
        <f>IFERROR(VLOOKUP(O343,Principles!$B$4:$C$7,2,FALSE()),"")</f>
        <v>Understandable</v>
      </c>
      <c r="Q343" s="6" t="str">
        <f>IFERROR(VLOOKUP(D343,Principles!$B$12:$D$66,3,FALSE()),"")</f>
        <v>A</v>
      </c>
      <c r="R343" s="23" t="s">
        <v>1117</v>
      </c>
    </row>
    <row r="344" spans="1:18" ht="129.6">
      <c r="A344" s="14" t="s">
        <v>1131</v>
      </c>
      <c r="B344" s="15" t="s">
        <v>1078</v>
      </c>
      <c r="C344" s="16" t="s">
        <v>1079</v>
      </c>
      <c r="D344" s="24" t="s">
        <v>1114</v>
      </c>
      <c r="E344" s="25" t="s">
        <v>1115</v>
      </c>
      <c r="F344" s="22" t="s">
        <v>1132</v>
      </c>
      <c r="G344" s="21" t="s">
        <v>1083</v>
      </c>
      <c r="H344" s="21" t="s">
        <v>1116</v>
      </c>
      <c r="I344" s="21" t="s">
        <v>1133</v>
      </c>
      <c r="J344" s="22"/>
      <c r="K344" s="22"/>
      <c r="L344" s="22"/>
      <c r="M344" s="22"/>
      <c r="N344" s="22"/>
      <c r="O344" s="4">
        <f t="shared" si="5"/>
        <v>3</v>
      </c>
      <c r="P344" s="5" t="str">
        <f>IFERROR(VLOOKUP(O344,Principles!$B$4:$C$7,2,FALSE()),"")</f>
        <v>Understandable</v>
      </c>
      <c r="Q344" s="6" t="str">
        <f>IFERROR(VLOOKUP(D344,Principles!$B$12:$D$66,3,FALSE()),"")</f>
        <v>A</v>
      </c>
      <c r="R344" s="23" t="s">
        <v>1117</v>
      </c>
    </row>
    <row r="345" spans="1:18" ht="172.9">
      <c r="A345" s="14" t="s">
        <v>1077</v>
      </c>
      <c r="B345" s="15" t="s">
        <v>1078</v>
      </c>
      <c r="C345" s="16" t="s">
        <v>1079</v>
      </c>
      <c r="D345" s="24" t="s">
        <v>1114</v>
      </c>
      <c r="E345" s="25" t="s">
        <v>1115</v>
      </c>
      <c r="F345" s="22" t="s">
        <v>1082</v>
      </c>
      <c r="G345" s="21" t="s">
        <v>1083</v>
      </c>
      <c r="H345" s="21" t="s">
        <v>1116</v>
      </c>
      <c r="I345" s="21" t="s">
        <v>1085</v>
      </c>
      <c r="J345" s="22"/>
      <c r="K345" s="22"/>
      <c r="L345" s="22"/>
      <c r="M345" s="22"/>
      <c r="N345" s="22"/>
      <c r="O345" s="4">
        <f t="shared" si="5"/>
        <v>3</v>
      </c>
      <c r="P345" s="5" t="str">
        <f>IFERROR(VLOOKUP(O345,Principles!$B$4:$C$7,2,FALSE()),"")</f>
        <v>Understandable</v>
      </c>
      <c r="Q345" s="6" t="str">
        <f>IFERROR(VLOOKUP(D345,Principles!$B$12:$D$66,3,FALSE()),"")</f>
        <v>A</v>
      </c>
      <c r="R345" s="23" t="s">
        <v>1117</v>
      </c>
    </row>
    <row r="346" spans="1:18" ht="115.15">
      <c r="A346" s="14" t="s">
        <v>1134</v>
      </c>
      <c r="B346" s="15" t="s">
        <v>1078</v>
      </c>
      <c r="C346" s="16" t="s">
        <v>1079</v>
      </c>
      <c r="D346" s="24" t="s">
        <v>1114</v>
      </c>
      <c r="E346" s="25" t="s">
        <v>1115</v>
      </c>
      <c r="F346" s="22" t="s">
        <v>1135</v>
      </c>
      <c r="G346" s="21" t="s">
        <v>1083</v>
      </c>
      <c r="H346" s="21" t="s">
        <v>1116</v>
      </c>
      <c r="I346" s="21" t="s">
        <v>1136</v>
      </c>
      <c r="J346" s="22"/>
      <c r="K346" s="22"/>
      <c r="L346" s="22"/>
      <c r="M346" s="22"/>
      <c r="N346" s="22"/>
      <c r="O346" s="4">
        <f t="shared" si="5"/>
        <v>3</v>
      </c>
      <c r="P346" s="5" t="str">
        <f>IFERROR(VLOOKUP(O346,Principles!$B$4:$C$7,2,FALSE()),"")</f>
        <v>Understandable</v>
      </c>
      <c r="Q346" s="6" t="str">
        <f>IFERROR(VLOOKUP(D346,Principles!$B$12:$D$66,3,FALSE()),"")</f>
        <v>A</v>
      </c>
      <c r="R346" s="23" t="s">
        <v>1117</v>
      </c>
    </row>
    <row r="347" spans="1:18" ht="172.9">
      <c r="A347" s="14" t="s">
        <v>1093</v>
      </c>
      <c r="B347" s="15" t="s">
        <v>1078</v>
      </c>
      <c r="C347" s="16" t="s">
        <v>1079</v>
      </c>
      <c r="D347" s="24" t="s">
        <v>1114</v>
      </c>
      <c r="E347" s="25" t="s">
        <v>1115</v>
      </c>
      <c r="F347" s="22" t="s">
        <v>1094</v>
      </c>
      <c r="G347" s="21" t="s">
        <v>1083</v>
      </c>
      <c r="H347" s="21" t="s">
        <v>1116</v>
      </c>
      <c r="I347" s="21" t="s">
        <v>1095</v>
      </c>
      <c r="J347" s="22"/>
      <c r="K347" s="22"/>
      <c r="L347" s="22"/>
      <c r="M347" s="22"/>
      <c r="N347" s="22"/>
      <c r="O347" s="4">
        <f t="shared" si="5"/>
        <v>3</v>
      </c>
      <c r="P347" s="5" t="str">
        <f>IFERROR(VLOOKUP(O347,Principles!$B$4:$C$7,2,FALSE()),"")</f>
        <v>Understandable</v>
      </c>
      <c r="Q347" s="6" t="str">
        <f>IFERROR(VLOOKUP(D347,Principles!$B$12:$D$66,3,FALSE()),"")</f>
        <v>A</v>
      </c>
      <c r="R347" s="23" t="s">
        <v>1117</v>
      </c>
    </row>
    <row r="348" spans="1:18" ht="273.60000000000002">
      <c r="A348" s="14" t="s">
        <v>85</v>
      </c>
      <c r="B348" s="15" t="s">
        <v>1078</v>
      </c>
      <c r="C348" s="16" t="s">
        <v>1079</v>
      </c>
      <c r="D348" s="24" t="s">
        <v>1114</v>
      </c>
      <c r="E348" s="25" t="s">
        <v>1115</v>
      </c>
      <c r="F348" s="22" t="s">
        <v>298</v>
      </c>
      <c r="G348" s="21" t="s">
        <v>1083</v>
      </c>
      <c r="H348" s="21" t="s">
        <v>1116</v>
      </c>
      <c r="I348" s="21" t="s">
        <v>87</v>
      </c>
      <c r="J348" s="22"/>
      <c r="K348" s="22"/>
      <c r="L348" s="22"/>
      <c r="M348" s="22"/>
      <c r="N348" s="22"/>
      <c r="O348" s="4">
        <f t="shared" si="5"/>
        <v>3</v>
      </c>
      <c r="P348" s="5" t="str">
        <f>IFERROR(VLOOKUP(O348,Principles!$B$4:$C$7,2,FALSE()),"")</f>
        <v>Understandable</v>
      </c>
      <c r="Q348" s="6" t="str">
        <f>IFERROR(VLOOKUP(D348,Principles!$B$12:$D$66,3,FALSE()),"")</f>
        <v>A</v>
      </c>
      <c r="R348" s="23" t="s">
        <v>1117</v>
      </c>
    </row>
    <row r="349" spans="1:18" ht="187.15">
      <c r="A349" s="14" t="s">
        <v>300</v>
      </c>
      <c r="B349" s="15" t="s">
        <v>1078</v>
      </c>
      <c r="C349" s="16" t="s">
        <v>1079</v>
      </c>
      <c r="D349" s="24" t="s">
        <v>1114</v>
      </c>
      <c r="E349" s="25" t="s">
        <v>1115</v>
      </c>
      <c r="F349" s="22" t="s">
        <v>301</v>
      </c>
      <c r="G349" s="21" t="s">
        <v>1083</v>
      </c>
      <c r="H349" s="21" t="s">
        <v>1116</v>
      </c>
      <c r="I349" s="21" t="s">
        <v>302</v>
      </c>
      <c r="J349" s="22"/>
      <c r="K349" s="22"/>
      <c r="L349" s="22"/>
      <c r="M349" s="22"/>
      <c r="N349" s="22"/>
      <c r="O349" s="4">
        <f t="shared" si="5"/>
        <v>3</v>
      </c>
      <c r="P349" s="5" t="str">
        <f>IFERROR(VLOOKUP(O349,Principles!$B$4:$C$7,2,FALSE()),"")</f>
        <v>Understandable</v>
      </c>
      <c r="Q349" s="6" t="str">
        <f>IFERROR(VLOOKUP(D349,Principles!$B$12:$D$66,3,FALSE()),"")</f>
        <v>A</v>
      </c>
      <c r="R349" s="23" t="s">
        <v>1117</v>
      </c>
    </row>
    <row r="350" spans="1:18" ht="158.44999999999999">
      <c r="A350" s="14" t="s">
        <v>306</v>
      </c>
      <c r="B350" s="15" t="s">
        <v>1078</v>
      </c>
      <c r="C350" s="16" t="s">
        <v>1079</v>
      </c>
      <c r="D350" s="24" t="s">
        <v>1114</v>
      </c>
      <c r="E350" s="25" t="s">
        <v>1115</v>
      </c>
      <c r="F350" s="22" t="s">
        <v>307</v>
      </c>
      <c r="G350" s="21" t="s">
        <v>1083</v>
      </c>
      <c r="H350" s="21" t="s">
        <v>1116</v>
      </c>
      <c r="I350" s="21" t="s">
        <v>308</v>
      </c>
      <c r="J350" s="22"/>
      <c r="K350" s="22"/>
      <c r="L350" s="22"/>
      <c r="M350" s="22"/>
      <c r="N350" s="22"/>
      <c r="O350" s="4">
        <f t="shared" si="5"/>
        <v>3</v>
      </c>
      <c r="P350" s="5" t="str">
        <f>IFERROR(VLOOKUP(O350,Principles!$B$4:$C$7,2,FALSE()),"")</f>
        <v>Understandable</v>
      </c>
      <c r="Q350" s="6" t="str">
        <f>IFERROR(VLOOKUP(D350,Principles!$B$12:$D$66,3,FALSE()),"")</f>
        <v>A</v>
      </c>
      <c r="R350" s="23" t="s">
        <v>1117</v>
      </c>
    </row>
    <row r="351" spans="1:18" ht="144">
      <c r="A351" s="14" t="s">
        <v>1137</v>
      </c>
      <c r="B351" s="15" t="s">
        <v>1078</v>
      </c>
      <c r="C351" s="16" t="s">
        <v>1079</v>
      </c>
      <c r="D351" s="24" t="s">
        <v>1114</v>
      </c>
      <c r="E351" s="25" t="s">
        <v>1115</v>
      </c>
      <c r="F351" s="22" t="s">
        <v>1138</v>
      </c>
      <c r="G351" s="21" t="s">
        <v>1083</v>
      </c>
      <c r="H351" s="21" t="s">
        <v>1116</v>
      </c>
      <c r="I351" s="21" t="s">
        <v>1139</v>
      </c>
      <c r="J351" s="22"/>
      <c r="K351" s="22"/>
      <c r="L351" s="22"/>
      <c r="M351" s="22"/>
      <c r="N351" s="22"/>
      <c r="O351" s="4">
        <f t="shared" si="5"/>
        <v>3</v>
      </c>
      <c r="P351" s="5" t="str">
        <f>IFERROR(VLOOKUP(O351,Principles!$B$4:$C$7,2,FALSE()),"")</f>
        <v>Understandable</v>
      </c>
      <c r="Q351" s="6" t="str">
        <f>IFERROR(VLOOKUP(D351,Principles!$B$12:$D$66,3,FALSE()),"")</f>
        <v>A</v>
      </c>
      <c r="R351" s="23" t="s">
        <v>1117</v>
      </c>
    </row>
    <row r="352" spans="1:18" ht="158.44999999999999">
      <c r="A352" s="14" t="s">
        <v>1140</v>
      </c>
      <c r="B352" s="15" t="s">
        <v>1078</v>
      </c>
      <c r="C352" s="16" t="s">
        <v>1079</v>
      </c>
      <c r="D352" s="24" t="s">
        <v>1114</v>
      </c>
      <c r="E352" s="25" t="s">
        <v>1115</v>
      </c>
      <c r="F352" s="22" t="s">
        <v>1141</v>
      </c>
      <c r="G352" s="21" t="s">
        <v>1083</v>
      </c>
      <c r="H352" s="21" t="s">
        <v>1116</v>
      </c>
      <c r="I352" s="21" t="s">
        <v>1142</v>
      </c>
      <c r="J352" s="22"/>
      <c r="K352" s="22"/>
      <c r="L352" s="22"/>
      <c r="M352" s="22"/>
      <c r="N352" s="22"/>
      <c r="O352" s="4">
        <f t="shared" si="5"/>
        <v>3</v>
      </c>
      <c r="P352" s="5" t="str">
        <f>IFERROR(VLOOKUP(O352,Principles!$B$4:$C$7,2,FALSE()),"")</f>
        <v>Understandable</v>
      </c>
      <c r="Q352" s="6" t="str">
        <f>IFERROR(VLOOKUP(D352,Principles!$B$12:$D$66,3,FALSE()),"")</f>
        <v>A</v>
      </c>
      <c r="R352" s="23" t="s">
        <v>1117</v>
      </c>
    </row>
    <row r="353" spans="1:18" ht="259.14999999999998">
      <c r="A353" s="14" t="s">
        <v>1096</v>
      </c>
      <c r="B353" s="15" t="s">
        <v>1078</v>
      </c>
      <c r="C353" s="16" t="s">
        <v>1079</v>
      </c>
      <c r="D353" s="24" t="s">
        <v>1143</v>
      </c>
      <c r="E353" s="25" t="s">
        <v>1144</v>
      </c>
      <c r="F353" s="22" t="s">
        <v>1097</v>
      </c>
      <c r="G353" s="21" t="s">
        <v>1083</v>
      </c>
      <c r="H353" s="21" t="s">
        <v>1145</v>
      </c>
      <c r="I353" s="21" t="s">
        <v>1098</v>
      </c>
      <c r="J353" s="22"/>
      <c r="K353" s="22"/>
      <c r="L353" s="22"/>
      <c r="M353" s="22"/>
      <c r="N353" s="22"/>
      <c r="O353" s="4">
        <f t="shared" si="5"/>
        <v>3</v>
      </c>
      <c r="P353" s="5" t="str">
        <f>IFERROR(VLOOKUP(O353,Principles!$B$4:$C$7,2,FALSE()),"")</f>
        <v>Understandable</v>
      </c>
      <c r="Q353" s="6" t="str">
        <f>IFERROR(VLOOKUP(D353,Principles!$B$12:$D$66,3,FALSE()),"")</f>
        <v>AA</v>
      </c>
      <c r="R353" s="23" t="s">
        <v>1146</v>
      </c>
    </row>
    <row r="354" spans="1:18" ht="187.15">
      <c r="A354" s="14" t="s">
        <v>1105</v>
      </c>
      <c r="B354" s="15" t="s">
        <v>1078</v>
      </c>
      <c r="C354" s="16" t="s">
        <v>1079</v>
      </c>
      <c r="D354" s="24" t="s">
        <v>1143</v>
      </c>
      <c r="E354" s="25" t="s">
        <v>1144</v>
      </c>
      <c r="F354" s="22" t="s">
        <v>1106</v>
      </c>
      <c r="G354" s="21" t="s">
        <v>1083</v>
      </c>
      <c r="H354" s="21" t="s">
        <v>1145</v>
      </c>
      <c r="I354" s="21" t="s">
        <v>1107</v>
      </c>
      <c r="J354" s="22"/>
      <c r="K354" s="22"/>
      <c r="L354" s="22"/>
      <c r="M354" s="22"/>
      <c r="N354" s="22"/>
      <c r="O354" s="4">
        <f t="shared" si="5"/>
        <v>3</v>
      </c>
      <c r="P354" s="5" t="str">
        <f>IFERROR(VLOOKUP(O354,Principles!$B$4:$C$7,2,FALSE()),"")</f>
        <v>Understandable</v>
      </c>
      <c r="Q354" s="6" t="str">
        <f>IFERROR(VLOOKUP(D354,Principles!$B$12:$D$66,3,FALSE()),"")</f>
        <v>AA</v>
      </c>
      <c r="R354" s="23" t="s">
        <v>1146</v>
      </c>
    </row>
    <row r="355" spans="1:18" ht="158.44999999999999">
      <c r="A355" s="14" t="s">
        <v>1147</v>
      </c>
      <c r="B355" s="15" t="s">
        <v>1078</v>
      </c>
      <c r="C355" s="16" t="s">
        <v>1079</v>
      </c>
      <c r="D355" s="24" t="s">
        <v>1143</v>
      </c>
      <c r="E355" s="25" t="s">
        <v>1144</v>
      </c>
      <c r="F355" s="22" t="s">
        <v>1148</v>
      </c>
      <c r="G355" s="21" t="s">
        <v>1083</v>
      </c>
      <c r="H355" s="21" t="s">
        <v>1145</v>
      </c>
      <c r="I355" s="21" t="s">
        <v>1149</v>
      </c>
      <c r="J355" s="22"/>
      <c r="K355" s="22"/>
      <c r="L355" s="22"/>
      <c r="M355" s="22"/>
      <c r="N355" s="22"/>
      <c r="O355" s="4">
        <f t="shared" si="5"/>
        <v>3</v>
      </c>
      <c r="P355" s="5" t="str">
        <f>IFERROR(VLOOKUP(O355,Principles!$B$4:$C$7,2,FALSE()),"")</f>
        <v>Understandable</v>
      </c>
      <c r="Q355" s="6" t="str">
        <f>IFERROR(VLOOKUP(D355,Principles!$B$12:$D$66,3,FALSE()),"")</f>
        <v>AA</v>
      </c>
      <c r="R355" s="23" t="s">
        <v>1146</v>
      </c>
    </row>
    <row r="356" spans="1:18" ht="158.44999999999999">
      <c r="A356" s="14" t="s">
        <v>1111</v>
      </c>
      <c r="B356" s="15" t="s">
        <v>1078</v>
      </c>
      <c r="C356" s="16" t="s">
        <v>1079</v>
      </c>
      <c r="D356" s="24" t="s">
        <v>1143</v>
      </c>
      <c r="E356" s="25" t="s">
        <v>1144</v>
      </c>
      <c r="F356" s="22" t="s">
        <v>1112</v>
      </c>
      <c r="G356" s="21" t="s">
        <v>1083</v>
      </c>
      <c r="H356" s="21" t="s">
        <v>1145</v>
      </c>
      <c r="I356" s="21" t="s">
        <v>1113</v>
      </c>
      <c r="J356" s="22"/>
      <c r="K356" s="22"/>
      <c r="L356" s="22"/>
      <c r="M356" s="22"/>
      <c r="N356" s="22"/>
      <c r="O356" s="4">
        <f t="shared" si="5"/>
        <v>3</v>
      </c>
      <c r="P356" s="5" t="str">
        <f>IFERROR(VLOOKUP(O356,Principles!$B$4:$C$7,2,FALSE()),"")</f>
        <v>Understandable</v>
      </c>
      <c r="Q356" s="6" t="str">
        <f>IFERROR(VLOOKUP(D356,Principles!$B$12:$D$66,3,FALSE()),"")</f>
        <v>AA</v>
      </c>
      <c r="R356" s="23" t="s">
        <v>1146</v>
      </c>
    </row>
    <row r="357" spans="1:18" ht="86.45">
      <c r="A357" s="14" t="s">
        <v>1102</v>
      </c>
      <c r="B357" s="15" t="s">
        <v>1078</v>
      </c>
      <c r="C357" s="16" t="s">
        <v>1079</v>
      </c>
      <c r="D357" s="24" t="s">
        <v>1143</v>
      </c>
      <c r="E357" s="25" t="s">
        <v>1144</v>
      </c>
      <c r="F357" s="22" t="s">
        <v>1103</v>
      </c>
      <c r="G357" s="21" t="s">
        <v>1083</v>
      </c>
      <c r="H357" s="21" t="s">
        <v>1145</v>
      </c>
      <c r="I357" s="21" t="s">
        <v>1104</v>
      </c>
      <c r="J357" s="22"/>
      <c r="K357" s="22"/>
      <c r="L357" s="22"/>
      <c r="M357" s="22"/>
      <c r="N357" s="22"/>
      <c r="O357" s="4">
        <f t="shared" si="5"/>
        <v>3</v>
      </c>
      <c r="P357" s="5" t="str">
        <f>IFERROR(VLOOKUP(O357,Principles!$B$4:$C$7,2,FALSE()),"")</f>
        <v>Understandable</v>
      </c>
      <c r="Q357" s="6" t="str">
        <f>IFERROR(VLOOKUP(D357,Principles!$B$12:$D$66,3,FALSE()),"")</f>
        <v>AA</v>
      </c>
      <c r="R357" s="23" t="s">
        <v>1146</v>
      </c>
    </row>
    <row r="358" spans="1:18" ht="132">
      <c r="A358" s="14" t="s">
        <v>1150</v>
      </c>
      <c r="B358" s="15" t="s">
        <v>1078</v>
      </c>
      <c r="C358" s="16" t="s">
        <v>1079</v>
      </c>
      <c r="D358" s="24" t="s">
        <v>1151</v>
      </c>
      <c r="E358" s="25" t="s">
        <v>1152</v>
      </c>
      <c r="F358" s="22" t="s">
        <v>1153</v>
      </c>
      <c r="G358" s="21" t="s">
        <v>1083</v>
      </c>
      <c r="H358" s="21" t="s">
        <v>1154</v>
      </c>
      <c r="I358" s="21" t="s">
        <v>1155</v>
      </c>
      <c r="J358" s="22"/>
      <c r="K358" s="22"/>
      <c r="L358" s="22"/>
      <c r="M358" s="22"/>
      <c r="N358" s="22"/>
      <c r="O358" s="4">
        <f t="shared" si="5"/>
        <v>3</v>
      </c>
      <c r="P358" s="5" t="str">
        <f>IFERROR(VLOOKUP(O358,Principles!$B$4:$C$7,2,FALSE()),"")</f>
        <v>Understandable</v>
      </c>
      <c r="Q358" s="6" t="str">
        <f>IFERROR(VLOOKUP(D358,Principles!$B$12:$D$66,3,FALSE()),"")</f>
        <v>AA</v>
      </c>
      <c r="R358" s="23" t="s">
        <v>1156</v>
      </c>
    </row>
    <row r="359" spans="1:18" ht="187.15">
      <c r="A359" s="14" t="s">
        <v>1157</v>
      </c>
      <c r="B359" s="15" t="s">
        <v>1078</v>
      </c>
      <c r="C359" s="16" t="s">
        <v>1079</v>
      </c>
      <c r="D359" s="24" t="s">
        <v>1151</v>
      </c>
      <c r="E359" s="25" t="s">
        <v>1152</v>
      </c>
      <c r="F359" s="22" t="s">
        <v>1158</v>
      </c>
      <c r="G359" s="21" t="s">
        <v>1083</v>
      </c>
      <c r="H359" s="21" t="s">
        <v>1154</v>
      </c>
      <c r="I359" s="21" t="s">
        <v>1159</v>
      </c>
      <c r="J359" s="22"/>
      <c r="K359" s="22"/>
      <c r="L359" s="22"/>
      <c r="M359" s="22"/>
      <c r="N359" s="22"/>
      <c r="O359" s="4">
        <f t="shared" si="5"/>
        <v>3</v>
      </c>
      <c r="P359" s="5" t="str">
        <f>IFERROR(VLOOKUP(O359,Principles!$B$4:$C$7,2,FALSE()),"")</f>
        <v>Understandable</v>
      </c>
      <c r="Q359" s="6" t="str">
        <f>IFERROR(VLOOKUP(D359,Principles!$B$12:$D$66,3,FALSE()),"")</f>
        <v>AA</v>
      </c>
      <c r="R359" s="23" t="s">
        <v>1156</v>
      </c>
    </row>
    <row r="360" spans="1:18" ht="132">
      <c r="A360" s="14" t="s">
        <v>1160</v>
      </c>
      <c r="B360" s="15" t="s">
        <v>1078</v>
      </c>
      <c r="C360" s="16" t="s">
        <v>1079</v>
      </c>
      <c r="D360" s="24" t="s">
        <v>1151</v>
      </c>
      <c r="E360" s="25" t="s">
        <v>1152</v>
      </c>
      <c r="F360" s="22" t="s">
        <v>1161</v>
      </c>
      <c r="G360" s="21" t="s">
        <v>1083</v>
      </c>
      <c r="H360" s="21" t="s">
        <v>1154</v>
      </c>
      <c r="I360" s="21" t="s">
        <v>1162</v>
      </c>
      <c r="J360" s="22"/>
      <c r="K360" s="22"/>
      <c r="L360" s="22"/>
      <c r="M360" s="22"/>
      <c r="N360" s="22"/>
      <c r="O360" s="4">
        <f t="shared" si="5"/>
        <v>3</v>
      </c>
      <c r="P360" s="5" t="str">
        <f>IFERROR(VLOOKUP(O360,Principles!$B$4:$C$7,2,FALSE()),"")</f>
        <v>Understandable</v>
      </c>
      <c r="Q360" s="6" t="str">
        <f>IFERROR(VLOOKUP(D360,Principles!$B$12:$D$66,3,FALSE()),"")</f>
        <v>AA</v>
      </c>
      <c r="R360" s="23" t="s">
        <v>1156</v>
      </c>
    </row>
    <row r="361" spans="1:18" ht="132">
      <c r="A361" s="14" t="s">
        <v>1163</v>
      </c>
      <c r="B361" s="15" t="s">
        <v>1078</v>
      </c>
      <c r="C361" s="16" t="s">
        <v>1079</v>
      </c>
      <c r="D361" s="24" t="s">
        <v>1151</v>
      </c>
      <c r="E361" s="25" t="s">
        <v>1152</v>
      </c>
      <c r="F361" s="22" t="s">
        <v>1164</v>
      </c>
      <c r="G361" s="21" t="s">
        <v>1083</v>
      </c>
      <c r="H361" s="21" t="s">
        <v>1154</v>
      </c>
      <c r="I361" s="21" t="s">
        <v>1165</v>
      </c>
      <c r="J361" s="22"/>
      <c r="K361" s="22"/>
      <c r="L361" s="22"/>
      <c r="M361" s="22"/>
      <c r="N361" s="22"/>
      <c r="O361" s="4">
        <f t="shared" si="5"/>
        <v>3</v>
      </c>
      <c r="P361" s="5" t="str">
        <f>IFERROR(VLOOKUP(O361,Principles!$B$4:$C$7,2,FALSE()),"")</f>
        <v>Understandable</v>
      </c>
      <c r="Q361" s="6" t="str">
        <f>IFERROR(VLOOKUP(D361,Principles!$B$12:$D$66,3,FALSE()),"")</f>
        <v>AA</v>
      </c>
      <c r="R361" s="23" t="s">
        <v>1156</v>
      </c>
    </row>
    <row r="362" spans="1:18" ht="132">
      <c r="A362" s="14" t="s">
        <v>1166</v>
      </c>
      <c r="B362" s="15" t="s">
        <v>1078</v>
      </c>
      <c r="C362" s="16" t="s">
        <v>1079</v>
      </c>
      <c r="D362" s="24" t="s">
        <v>1151</v>
      </c>
      <c r="E362" s="25" t="s">
        <v>1152</v>
      </c>
      <c r="F362" s="22" t="s">
        <v>1167</v>
      </c>
      <c r="G362" s="21" t="s">
        <v>1083</v>
      </c>
      <c r="H362" s="21" t="s">
        <v>1154</v>
      </c>
      <c r="I362" s="21" t="s">
        <v>1168</v>
      </c>
      <c r="J362" s="22"/>
      <c r="K362" s="22"/>
      <c r="L362" s="22"/>
      <c r="M362" s="22"/>
      <c r="N362" s="22"/>
      <c r="O362" s="4">
        <f t="shared" si="5"/>
        <v>3</v>
      </c>
      <c r="P362" s="5" t="str">
        <f>IFERROR(VLOOKUP(O362,Principles!$B$4:$C$7,2,FALSE()),"")</f>
        <v>Understandable</v>
      </c>
      <c r="Q362" s="6" t="str">
        <f>IFERROR(VLOOKUP(D362,Principles!$B$12:$D$66,3,FALSE()),"")</f>
        <v>AA</v>
      </c>
      <c r="R362" s="23" t="s">
        <v>1156</v>
      </c>
    </row>
    <row r="363" spans="1:18" ht="172.9">
      <c r="A363" s="14" t="s">
        <v>1169</v>
      </c>
      <c r="B363" s="15" t="s">
        <v>1170</v>
      </c>
      <c r="C363" s="16" t="s">
        <v>1171</v>
      </c>
      <c r="D363" s="24" t="s">
        <v>1172</v>
      </c>
      <c r="E363" s="25" t="s">
        <v>1173</v>
      </c>
      <c r="F363" s="22" t="s">
        <v>1174</v>
      </c>
      <c r="G363" s="21" t="s">
        <v>1175</v>
      </c>
      <c r="H363" s="21" t="s">
        <v>1176</v>
      </c>
      <c r="I363" s="21" t="s">
        <v>1177</v>
      </c>
      <c r="J363" s="22"/>
      <c r="K363" s="22"/>
      <c r="L363" s="22"/>
      <c r="M363" s="22"/>
      <c r="N363" s="22"/>
      <c r="O363" s="4">
        <f t="shared" si="5"/>
        <v>4</v>
      </c>
      <c r="P363" s="5" t="str">
        <f>IFERROR(VLOOKUP(O363,Principles!$B$4:$C$7,2,FALSE()),"")</f>
        <v>Robust</v>
      </c>
      <c r="Q363" s="6" t="str">
        <f>IFERROR(VLOOKUP(D363,Principles!$B$12:$D$66,3,FALSE()),"")</f>
        <v/>
      </c>
      <c r="R363" s="23" t="s">
        <v>1178</v>
      </c>
    </row>
    <row r="364" spans="1:18" ht="144">
      <c r="A364" s="14" t="s">
        <v>1179</v>
      </c>
      <c r="B364" s="15" t="s">
        <v>1170</v>
      </c>
      <c r="C364" s="16" t="s">
        <v>1171</v>
      </c>
      <c r="D364" s="24" t="s">
        <v>1172</v>
      </c>
      <c r="E364" s="25" t="s">
        <v>1173</v>
      </c>
      <c r="F364" s="22" t="s">
        <v>1180</v>
      </c>
      <c r="G364" s="21" t="s">
        <v>1175</v>
      </c>
      <c r="H364" s="21" t="s">
        <v>1176</v>
      </c>
      <c r="I364" s="21" t="s">
        <v>1181</v>
      </c>
      <c r="J364" s="22"/>
      <c r="K364" s="22"/>
      <c r="L364" s="22"/>
      <c r="M364" s="22"/>
      <c r="N364" s="22"/>
      <c r="O364" s="4">
        <f t="shared" si="5"/>
        <v>4</v>
      </c>
      <c r="P364" s="5" t="str">
        <f>IFERROR(VLOOKUP(O364,Principles!$B$4:$C$7,2,FALSE()),"")</f>
        <v>Robust</v>
      </c>
      <c r="Q364" s="6" t="str">
        <f>IFERROR(VLOOKUP(D364,Principles!$B$12:$D$66,3,FALSE()),"")</f>
        <v/>
      </c>
      <c r="R364" s="23" t="s">
        <v>1178</v>
      </c>
    </row>
    <row r="365" spans="1:18" ht="158.44999999999999">
      <c r="A365" s="14" t="s">
        <v>1182</v>
      </c>
      <c r="B365" s="15" t="s">
        <v>1170</v>
      </c>
      <c r="C365" s="16" t="s">
        <v>1171</v>
      </c>
      <c r="D365" s="24" t="s">
        <v>1172</v>
      </c>
      <c r="E365" s="25" t="s">
        <v>1173</v>
      </c>
      <c r="F365" s="22" t="s">
        <v>1183</v>
      </c>
      <c r="G365" s="21" t="s">
        <v>1175</v>
      </c>
      <c r="H365" s="21" t="s">
        <v>1176</v>
      </c>
      <c r="I365" s="21" t="s">
        <v>1184</v>
      </c>
      <c r="J365" s="22"/>
      <c r="K365" s="22"/>
      <c r="L365" s="22"/>
      <c r="M365" s="22"/>
      <c r="N365" s="22"/>
      <c r="O365" s="4">
        <f t="shared" si="5"/>
        <v>4</v>
      </c>
      <c r="P365" s="5" t="str">
        <f>IFERROR(VLOOKUP(O365,Principles!$B$4:$C$7,2,FALSE()),"")</f>
        <v>Robust</v>
      </c>
      <c r="Q365" s="6" t="str">
        <f>IFERROR(VLOOKUP(D365,Principles!$B$12:$D$66,3,FALSE()),"")</f>
        <v/>
      </c>
      <c r="R365" s="23" t="s">
        <v>1178</v>
      </c>
    </row>
    <row r="366" spans="1:18" ht="144">
      <c r="A366" s="14" t="s">
        <v>1185</v>
      </c>
      <c r="B366" s="15" t="s">
        <v>1170</v>
      </c>
      <c r="C366" s="16" t="s">
        <v>1171</v>
      </c>
      <c r="D366" s="24" t="s">
        <v>1172</v>
      </c>
      <c r="E366" s="25" t="s">
        <v>1173</v>
      </c>
      <c r="F366" s="22" t="s">
        <v>1186</v>
      </c>
      <c r="G366" s="21" t="s">
        <v>1175</v>
      </c>
      <c r="H366" s="21" t="s">
        <v>1176</v>
      </c>
      <c r="I366" s="21" t="s">
        <v>1187</v>
      </c>
      <c r="J366" s="22"/>
      <c r="K366" s="22"/>
      <c r="L366" s="22"/>
      <c r="M366" s="22"/>
      <c r="N366" s="22"/>
      <c r="O366" s="4">
        <f t="shared" si="5"/>
        <v>4</v>
      </c>
      <c r="P366" s="5" t="str">
        <f>IFERROR(VLOOKUP(O366,Principles!$B$4:$C$7,2,FALSE()),"")</f>
        <v>Robust</v>
      </c>
      <c r="Q366" s="6" t="str">
        <f>IFERROR(VLOOKUP(D366,Principles!$B$12:$D$66,3,FALSE()),"")</f>
        <v/>
      </c>
      <c r="R366" s="23" t="s">
        <v>1178</v>
      </c>
    </row>
    <row r="367" spans="1:18" ht="118.9">
      <c r="A367" s="14" t="s">
        <v>1188</v>
      </c>
      <c r="B367" s="15" t="s">
        <v>1170</v>
      </c>
      <c r="C367" s="16" t="s">
        <v>1171</v>
      </c>
      <c r="D367" s="24" t="s">
        <v>1172</v>
      </c>
      <c r="E367" s="25" t="s">
        <v>1173</v>
      </c>
      <c r="F367" s="22" t="s">
        <v>1189</v>
      </c>
      <c r="G367" s="21" t="s">
        <v>1175</v>
      </c>
      <c r="H367" s="21" t="s">
        <v>1176</v>
      </c>
      <c r="I367" s="21" t="s">
        <v>1190</v>
      </c>
      <c r="J367" s="22"/>
      <c r="K367" s="22"/>
      <c r="L367" s="22"/>
      <c r="M367" s="22"/>
      <c r="N367" s="22"/>
      <c r="O367" s="4">
        <f t="shared" si="5"/>
        <v>4</v>
      </c>
      <c r="P367" s="5" t="str">
        <f>IFERROR(VLOOKUP(O367,Principles!$B$4:$C$7,2,FALSE()),"")</f>
        <v>Robust</v>
      </c>
      <c r="Q367" s="6" t="str">
        <f>IFERROR(VLOOKUP(D367,Principles!$B$12:$D$66,3,FALSE()),"")</f>
        <v/>
      </c>
      <c r="R367" s="23" t="s">
        <v>1178</v>
      </c>
    </row>
    <row r="368" spans="1:18" ht="118.9">
      <c r="A368" s="14" t="s">
        <v>1191</v>
      </c>
      <c r="B368" s="15" t="s">
        <v>1170</v>
      </c>
      <c r="C368" s="16" t="s">
        <v>1171</v>
      </c>
      <c r="D368" s="24" t="s">
        <v>1172</v>
      </c>
      <c r="E368" s="25" t="s">
        <v>1173</v>
      </c>
      <c r="F368" s="22" t="s">
        <v>1192</v>
      </c>
      <c r="G368" s="21" t="s">
        <v>1175</v>
      </c>
      <c r="H368" s="21" t="s">
        <v>1176</v>
      </c>
      <c r="I368" s="21" t="s">
        <v>1193</v>
      </c>
      <c r="J368" s="22"/>
      <c r="K368" s="22"/>
      <c r="L368" s="22"/>
      <c r="M368" s="22"/>
      <c r="N368" s="22"/>
      <c r="O368" s="4">
        <f t="shared" si="5"/>
        <v>4</v>
      </c>
      <c r="P368" s="5" t="str">
        <f>IFERROR(VLOOKUP(O368,Principles!$B$4:$C$7,2,FALSE()),"")</f>
        <v>Robust</v>
      </c>
      <c r="Q368" s="6" t="str">
        <f>IFERROR(VLOOKUP(D368,Principles!$B$12:$D$66,3,FALSE()),"")</f>
        <v/>
      </c>
      <c r="R368" s="23" t="s">
        <v>1178</v>
      </c>
    </row>
    <row r="369" spans="1:18" ht="118.9">
      <c r="A369" s="14" t="s">
        <v>1194</v>
      </c>
      <c r="B369" s="15" t="s">
        <v>1170</v>
      </c>
      <c r="C369" s="16" t="s">
        <v>1171</v>
      </c>
      <c r="D369" s="24" t="s">
        <v>1172</v>
      </c>
      <c r="E369" s="25" t="s">
        <v>1173</v>
      </c>
      <c r="F369" s="22" t="s">
        <v>1195</v>
      </c>
      <c r="G369" s="21" t="s">
        <v>1175</v>
      </c>
      <c r="H369" s="21" t="s">
        <v>1176</v>
      </c>
      <c r="I369" s="21" t="s">
        <v>1196</v>
      </c>
      <c r="J369" s="22"/>
      <c r="K369" s="22"/>
      <c r="L369" s="22"/>
      <c r="M369" s="22"/>
      <c r="N369" s="22"/>
      <c r="O369" s="4">
        <f t="shared" si="5"/>
        <v>4</v>
      </c>
      <c r="P369" s="5" t="str">
        <f>IFERROR(VLOOKUP(O369,Principles!$B$4:$C$7,2,FALSE()),"")</f>
        <v>Robust</v>
      </c>
      <c r="Q369" s="6" t="str">
        <f>IFERROR(VLOOKUP(D369,Principles!$B$12:$D$66,3,FALSE()),"")</f>
        <v/>
      </c>
      <c r="R369" s="23" t="s">
        <v>1178</v>
      </c>
    </row>
    <row r="370" spans="1:18" ht="118.9">
      <c r="A370" s="14" t="s">
        <v>1197</v>
      </c>
      <c r="B370" s="15" t="s">
        <v>1170</v>
      </c>
      <c r="C370" s="16" t="s">
        <v>1171</v>
      </c>
      <c r="D370" s="24" t="s">
        <v>1172</v>
      </c>
      <c r="E370" s="25" t="s">
        <v>1173</v>
      </c>
      <c r="F370" s="22" t="s">
        <v>1198</v>
      </c>
      <c r="G370" s="21" t="s">
        <v>1175</v>
      </c>
      <c r="H370" s="21" t="s">
        <v>1176</v>
      </c>
      <c r="I370" s="21" t="s">
        <v>1199</v>
      </c>
      <c r="J370" s="22"/>
      <c r="K370" s="22"/>
      <c r="L370" s="22"/>
      <c r="M370" s="22"/>
      <c r="N370" s="22"/>
      <c r="O370" s="4">
        <f t="shared" si="5"/>
        <v>4</v>
      </c>
      <c r="P370" s="5" t="str">
        <f>IFERROR(VLOOKUP(O370,Principles!$B$4:$C$7,2,FALSE()),"")</f>
        <v>Robust</v>
      </c>
      <c r="Q370" s="6" t="str">
        <f>IFERROR(VLOOKUP(D370,Principles!$B$12:$D$66,3,FALSE()),"")</f>
        <v/>
      </c>
      <c r="R370" s="23" t="s">
        <v>1178</v>
      </c>
    </row>
    <row r="371" spans="1:18" ht="118.9">
      <c r="A371" s="14" t="s">
        <v>1200</v>
      </c>
      <c r="B371" s="15" t="s">
        <v>1170</v>
      </c>
      <c r="C371" s="16" t="s">
        <v>1171</v>
      </c>
      <c r="D371" s="24" t="s">
        <v>1172</v>
      </c>
      <c r="E371" s="25" t="s">
        <v>1173</v>
      </c>
      <c r="F371" s="22" t="s">
        <v>1201</v>
      </c>
      <c r="G371" s="21" t="s">
        <v>1175</v>
      </c>
      <c r="H371" s="21" t="s">
        <v>1176</v>
      </c>
      <c r="I371" s="21" t="s">
        <v>1202</v>
      </c>
      <c r="J371" s="22"/>
      <c r="K371" s="22"/>
      <c r="L371" s="22"/>
      <c r="M371" s="22"/>
      <c r="N371" s="22"/>
      <c r="O371" s="4">
        <f t="shared" si="5"/>
        <v>4</v>
      </c>
      <c r="P371" s="5" t="str">
        <f>IFERROR(VLOOKUP(O371,Principles!$B$4:$C$7,2,FALSE()),"")</f>
        <v>Robust</v>
      </c>
      <c r="Q371" s="6" t="str">
        <f>IFERROR(VLOOKUP(D371,Principles!$B$12:$D$66,3,FALSE()),"")</f>
        <v/>
      </c>
      <c r="R371" s="23" t="s">
        <v>1178</v>
      </c>
    </row>
    <row r="372" spans="1:18" ht="115.15">
      <c r="A372" s="14" t="s">
        <v>1203</v>
      </c>
      <c r="B372" s="15" t="s">
        <v>1170</v>
      </c>
      <c r="C372" s="16" t="s">
        <v>1171</v>
      </c>
      <c r="D372" s="24" t="s">
        <v>1204</v>
      </c>
      <c r="E372" s="25" t="s">
        <v>1205</v>
      </c>
      <c r="F372" s="22" t="s">
        <v>1206</v>
      </c>
      <c r="G372" s="21" t="s">
        <v>1175</v>
      </c>
      <c r="H372" s="21" t="s">
        <v>1207</v>
      </c>
      <c r="I372" s="21" t="s">
        <v>1208</v>
      </c>
      <c r="J372" s="22"/>
      <c r="K372" s="22"/>
      <c r="L372" s="22"/>
      <c r="M372" s="22"/>
      <c r="N372" s="22"/>
      <c r="O372" s="4">
        <f t="shared" si="5"/>
        <v>4</v>
      </c>
      <c r="P372" s="5" t="str">
        <f>IFERROR(VLOOKUP(O372,Principles!$B$4:$C$7,2,FALSE()),"")</f>
        <v>Robust</v>
      </c>
      <c r="Q372" s="6" t="str">
        <f>IFERROR(VLOOKUP(D372,Principles!$B$12:$D$66,3,FALSE()),"")</f>
        <v>A</v>
      </c>
      <c r="R372" s="23" t="s">
        <v>1209</v>
      </c>
    </row>
    <row r="373" spans="1:18" ht="144">
      <c r="A373" s="14" t="s">
        <v>253</v>
      </c>
      <c r="B373" s="15" t="s">
        <v>1170</v>
      </c>
      <c r="C373" s="16" t="s">
        <v>1171</v>
      </c>
      <c r="D373" s="24" t="s">
        <v>1204</v>
      </c>
      <c r="E373" s="25" t="s">
        <v>1205</v>
      </c>
      <c r="F373" s="22" t="s">
        <v>254</v>
      </c>
      <c r="G373" s="21" t="s">
        <v>1175</v>
      </c>
      <c r="H373" s="21" t="s">
        <v>1207</v>
      </c>
      <c r="I373" s="21" t="s">
        <v>255</v>
      </c>
      <c r="J373" s="22"/>
      <c r="K373" s="22"/>
      <c r="L373" s="22"/>
      <c r="M373" s="22"/>
      <c r="N373" s="22"/>
      <c r="O373" s="4">
        <f t="shared" si="5"/>
        <v>4</v>
      </c>
      <c r="P373" s="5" t="str">
        <f>IFERROR(VLOOKUP(O373,Principles!$B$4:$C$7,2,FALSE()),"")</f>
        <v>Robust</v>
      </c>
      <c r="Q373" s="6" t="str">
        <f>IFERROR(VLOOKUP(D373,Principles!$B$12:$D$66,3,FALSE()),"")</f>
        <v>A</v>
      </c>
      <c r="R373" s="23" t="s">
        <v>1209</v>
      </c>
    </row>
    <row r="374" spans="1:18" ht="144">
      <c r="A374" s="14" t="s">
        <v>1210</v>
      </c>
      <c r="B374" s="15" t="s">
        <v>1170</v>
      </c>
      <c r="C374" s="16" t="s">
        <v>1171</v>
      </c>
      <c r="D374" s="24" t="s">
        <v>1204</v>
      </c>
      <c r="E374" s="25" t="s">
        <v>1205</v>
      </c>
      <c r="F374" s="22" t="s">
        <v>1211</v>
      </c>
      <c r="G374" s="21" t="s">
        <v>1175</v>
      </c>
      <c r="H374" s="21" t="s">
        <v>1207</v>
      </c>
      <c r="I374" s="21" t="s">
        <v>1212</v>
      </c>
      <c r="J374" s="22"/>
      <c r="K374" s="22"/>
      <c r="L374" s="22"/>
      <c r="M374" s="22"/>
      <c r="N374" s="22"/>
      <c r="O374" s="4">
        <f t="shared" si="5"/>
        <v>4</v>
      </c>
      <c r="P374" s="5" t="str">
        <f>IFERROR(VLOOKUP(O374,Principles!$B$4:$C$7,2,FALSE()),"")</f>
        <v>Robust</v>
      </c>
      <c r="Q374" s="6" t="str">
        <f>IFERROR(VLOOKUP(D374,Principles!$B$12:$D$66,3,FALSE()),"")</f>
        <v>A</v>
      </c>
      <c r="R374" s="23" t="s">
        <v>1209</v>
      </c>
    </row>
    <row r="375" spans="1:18" ht="105.6">
      <c r="A375" s="14" t="s">
        <v>645</v>
      </c>
      <c r="B375" s="15" t="s">
        <v>1170</v>
      </c>
      <c r="C375" s="16" t="s">
        <v>1171</v>
      </c>
      <c r="D375" s="24" t="s">
        <v>1204</v>
      </c>
      <c r="E375" s="25" t="s">
        <v>1205</v>
      </c>
      <c r="F375" s="22" t="s">
        <v>646</v>
      </c>
      <c r="G375" s="21" t="s">
        <v>1175</v>
      </c>
      <c r="H375" s="21" t="s">
        <v>1207</v>
      </c>
      <c r="I375" s="21" t="s">
        <v>647</v>
      </c>
      <c r="J375" s="22"/>
      <c r="K375" s="22"/>
      <c r="L375" s="22"/>
      <c r="M375" s="22"/>
      <c r="N375" s="22"/>
      <c r="O375" s="4">
        <f t="shared" si="5"/>
        <v>4</v>
      </c>
      <c r="P375" s="5" t="str">
        <f>IFERROR(VLOOKUP(O375,Principles!$B$4:$C$7,2,FALSE()),"")</f>
        <v>Robust</v>
      </c>
      <c r="Q375" s="6" t="str">
        <f>IFERROR(VLOOKUP(D375,Principles!$B$12:$D$66,3,FALSE()),"")</f>
        <v>A</v>
      </c>
      <c r="R375" s="23" t="s">
        <v>1209</v>
      </c>
    </row>
    <row r="376" spans="1:18" ht="273.60000000000002">
      <c r="A376" s="14" t="s">
        <v>85</v>
      </c>
      <c r="B376" s="15" t="s">
        <v>1170</v>
      </c>
      <c r="C376" s="16" t="s">
        <v>1171</v>
      </c>
      <c r="D376" s="24" t="s">
        <v>1204</v>
      </c>
      <c r="E376" s="25" t="s">
        <v>1205</v>
      </c>
      <c r="F376" s="22" t="s">
        <v>298</v>
      </c>
      <c r="G376" s="21" t="s">
        <v>1175</v>
      </c>
      <c r="H376" s="21" t="s">
        <v>1207</v>
      </c>
      <c r="I376" s="21" t="s">
        <v>87</v>
      </c>
      <c r="J376" s="22"/>
      <c r="K376" s="22"/>
      <c r="L376" s="22"/>
      <c r="M376" s="22"/>
      <c r="N376" s="22"/>
      <c r="O376" s="4">
        <f t="shared" si="5"/>
        <v>4</v>
      </c>
      <c r="P376" s="5" t="str">
        <f>IFERROR(VLOOKUP(O376,Principles!$B$4:$C$7,2,FALSE()),"")</f>
        <v>Robust</v>
      </c>
      <c r="Q376" s="6" t="str">
        <f>IFERROR(VLOOKUP(D376,Principles!$B$12:$D$66,3,FALSE()),"")</f>
        <v>A</v>
      </c>
      <c r="R376" s="23" t="s">
        <v>1209</v>
      </c>
    </row>
    <row r="377" spans="1:18" ht="105.6">
      <c r="A377" s="14" t="s">
        <v>795</v>
      </c>
      <c r="B377" s="15" t="s">
        <v>1170</v>
      </c>
      <c r="C377" s="16" t="s">
        <v>1171</v>
      </c>
      <c r="D377" s="24" t="s">
        <v>1204</v>
      </c>
      <c r="E377" s="25" t="s">
        <v>1205</v>
      </c>
      <c r="F377" s="22" t="s">
        <v>796</v>
      </c>
      <c r="G377" s="21" t="s">
        <v>1175</v>
      </c>
      <c r="H377" s="21" t="s">
        <v>1207</v>
      </c>
      <c r="I377" s="21" t="s">
        <v>797</v>
      </c>
      <c r="J377" s="22"/>
      <c r="K377" s="22"/>
      <c r="L377" s="22"/>
      <c r="M377" s="22"/>
      <c r="N377" s="22"/>
      <c r="O377" s="4">
        <f t="shared" si="5"/>
        <v>4</v>
      </c>
      <c r="P377" s="5" t="str">
        <f>IFERROR(VLOOKUP(O377,Principles!$B$4:$C$7,2,FALSE()),"")</f>
        <v>Robust</v>
      </c>
      <c r="Q377" s="6" t="str">
        <f>IFERROR(VLOOKUP(D377,Principles!$B$12:$D$66,3,FALSE()),"")</f>
        <v>A</v>
      </c>
      <c r="R377" s="23" t="s">
        <v>1209</v>
      </c>
    </row>
    <row r="378" spans="1:18" ht="172.9">
      <c r="A378" s="14" t="s">
        <v>91</v>
      </c>
      <c r="B378" s="15" t="s">
        <v>1170</v>
      </c>
      <c r="C378" s="16" t="s">
        <v>1171</v>
      </c>
      <c r="D378" s="24" t="s">
        <v>1204</v>
      </c>
      <c r="E378" s="25" t="s">
        <v>1205</v>
      </c>
      <c r="F378" s="22" t="s">
        <v>299</v>
      </c>
      <c r="G378" s="21" t="s">
        <v>1175</v>
      </c>
      <c r="H378" s="21" t="s">
        <v>1207</v>
      </c>
      <c r="I378" s="21" t="s">
        <v>93</v>
      </c>
      <c r="J378" s="22"/>
      <c r="K378" s="22"/>
      <c r="L378" s="22"/>
      <c r="M378" s="22"/>
      <c r="N378" s="22"/>
      <c r="O378" s="4">
        <f t="shared" si="5"/>
        <v>4</v>
      </c>
      <c r="P378" s="5" t="str">
        <f>IFERROR(VLOOKUP(O378,Principles!$B$4:$C$7,2,FALSE()),"")</f>
        <v>Robust</v>
      </c>
      <c r="Q378" s="6" t="str">
        <f>IFERROR(VLOOKUP(D378,Principles!$B$12:$D$66,3,FALSE()),"")</f>
        <v>A</v>
      </c>
      <c r="R378" s="23" t="s">
        <v>1209</v>
      </c>
    </row>
    <row r="379" spans="1:18" ht="158.44999999999999">
      <c r="A379" s="14" t="s">
        <v>1182</v>
      </c>
      <c r="B379" s="15" t="s">
        <v>1170</v>
      </c>
      <c r="C379" s="16" t="s">
        <v>1171</v>
      </c>
      <c r="D379" s="24" t="s">
        <v>1204</v>
      </c>
      <c r="E379" s="25" t="s">
        <v>1205</v>
      </c>
      <c r="F379" s="22" t="s">
        <v>1183</v>
      </c>
      <c r="G379" s="21" t="s">
        <v>1175</v>
      </c>
      <c r="H379" s="21" t="s">
        <v>1207</v>
      </c>
      <c r="I379" s="21" t="s">
        <v>1184</v>
      </c>
      <c r="J379" s="22"/>
      <c r="K379" s="22"/>
      <c r="L379" s="22"/>
      <c r="M379" s="22"/>
      <c r="N379" s="22"/>
      <c r="O379" s="4">
        <f t="shared" si="5"/>
        <v>4</v>
      </c>
      <c r="P379" s="5" t="str">
        <f>IFERROR(VLOOKUP(O379,Principles!$B$4:$C$7,2,FALSE()),"")</f>
        <v>Robust</v>
      </c>
      <c r="Q379" s="6" t="str">
        <f>IFERROR(VLOOKUP(D379,Principles!$B$12:$D$66,3,FALSE()),"")</f>
        <v>A</v>
      </c>
      <c r="R379" s="23" t="s">
        <v>1209</v>
      </c>
    </row>
    <row r="380" spans="1:18" ht="144">
      <c r="A380" s="14" t="s">
        <v>1213</v>
      </c>
      <c r="B380" s="15" t="s">
        <v>1170</v>
      </c>
      <c r="C380" s="16" t="s">
        <v>1171</v>
      </c>
      <c r="D380" s="24" t="s">
        <v>1204</v>
      </c>
      <c r="E380" s="25" t="s">
        <v>1205</v>
      </c>
      <c r="F380" s="22" t="s">
        <v>1214</v>
      </c>
      <c r="G380" s="21" t="s">
        <v>1175</v>
      </c>
      <c r="H380" s="21" t="s">
        <v>1207</v>
      </c>
      <c r="I380" s="21" t="s">
        <v>1215</v>
      </c>
      <c r="J380" s="22"/>
      <c r="K380" s="22"/>
      <c r="L380" s="22"/>
      <c r="M380" s="22"/>
      <c r="N380" s="22"/>
      <c r="O380" s="4">
        <f t="shared" si="5"/>
        <v>4</v>
      </c>
      <c r="P380" s="5" t="str">
        <f>IFERROR(VLOOKUP(O380,Principles!$B$4:$C$7,2,FALSE()),"")</f>
        <v>Robust</v>
      </c>
      <c r="Q380" s="6" t="str">
        <f>IFERROR(VLOOKUP(D380,Principles!$B$12:$D$66,3,FALSE()),"")</f>
        <v>A</v>
      </c>
      <c r="R380" s="23" t="s">
        <v>1209</v>
      </c>
    </row>
    <row r="381" spans="1:18" ht="187.15">
      <c r="A381" s="14" t="s">
        <v>300</v>
      </c>
      <c r="B381" s="15" t="s">
        <v>1170</v>
      </c>
      <c r="C381" s="16" t="s">
        <v>1171</v>
      </c>
      <c r="D381" s="24" t="s">
        <v>1204</v>
      </c>
      <c r="E381" s="25" t="s">
        <v>1205</v>
      </c>
      <c r="F381" s="22" t="s">
        <v>301</v>
      </c>
      <c r="G381" s="21" t="s">
        <v>1175</v>
      </c>
      <c r="H381" s="21" t="s">
        <v>1207</v>
      </c>
      <c r="I381" s="21" t="s">
        <v>302</v>
      </c>
      <c r="J381" s="22"/>
      <c r="K381" s="22"/>
      <c r="L381" s="22"/>
      <c r="M381" s="22"/>
      <c r="N381" s="22"/>
      <c r="O381" s="4">
        <f t="shared" si="5"/>
        <v>4</v>
      </c>
      <c r="P381" s="5" t="str">
        <f>IFERROR(VLOOKUP(O381,Principles!$B$4:$C$7,2,FALSE()),"")</f>
        <v>Robust</v>
      </c>
      <c r="Q381" s="6" t="str">
        <f>IFERROR(VLOOKUP(D381,Principles!$B$12:$D$66,3,FALSE()),"")</f>
        <v>A</v>
      </c>
      <c r="R381" s="23" t="s">
        <v>1209</v>
      </c>
    </row>
    <row r="382" spans="1:18" ht="216">
      <c r="A382" s="14" t="s">
        <v>303</v>
      </c>
      <c r="B382" s="15" t="s">
        <v>1170</v>
      </c>
      <c r="C382" s="16" t="s">
        <v>1171</v>
      </c>
      <c r="D382" s="24" t="s">
        <v>1204</v>
      </c>
      <c r="E382" s="25" t="s">
        <v>1205</v>
      </c>
      <c r="F382" s="22" t="s">
        <v>304</v>
      </c>
      <c r="G382" s="21" t="s">
        <v>1175</v>
      </c>
      <c r="H382" s="21" t="s">
        <v>1207</v>
      </c>
      <c r="I382" s="21" t="s">
        <v>305</v>
      </c>
      <c r="J382" s="22"/>
      <c r="K382" s="22"/>
      <c r="L382" s="22"/>
      <c r="M382" s="22"/>
      <c r="N382" s="22"/>
      <c r="O382" s="4">
        <f t="shared" si="5"/>
        <v>4</v>
      </c>
      <c r="P382" s="5" t="str">
        <f>IFERROR(VLOOKUP(O382,Principles!$B$4:$C$7,2,FALSE()),"")</f>
        <v>Robust</v>
      </c>
      <c r="Q382" s="6" t="str">
        <f>IFERROR(VLOOKUP(D382,Principles!$B$12:$D$66,3,FALSE()),"")</f>
        <v>A</v>
      </c>
      <c r="R382" s="23" t="s">
        <v>1209</v>
      </c>
    </row>
    <row r="383" spans="1:18" ht="216">
      <c r="A383" s="14" t="s">
        <v>1216</v>
      </c>
      <c r="B383" s="15" t="s">
        <v>1170</v>
      </c>
      <c r="C383" s="16" t="s">
        <v>1171</v>
      </c>
      <c r="D383" s="24" t="s">
        <v>1204</v>
      </c>
      <c r="E383" s="25" t="s">
        <v>1205</v>
      </c>
      <c r="F383" s="22" t="s">
        <v>1217</v>
      </c>
      <c r="G383" s="21" t="s">
        <v>1175</v>
      </c>
      <c r="H383" s="21" t="s">
        <v>1207</v>
      </c>
      <c r="I383" s="21" t="s">
        <v>1218</v>
      </c>
      <c r="J383" s="22"/>
      <c r="K383" s="22"/>
      <c r="L383" s="22"/>
      <c r="M383" s="22"/>
      <c r="N383" s="22"/>
      <c r="O383" s="4">
        <f t="shared" si="5"/>
        <v>4</v>
      </c>
      <c r="P383" s="5" t="str">
        <f>IFERROR(VLOOKUP(O383,Principles!$B$4:$C$7,2,FALSE()),"")</f>
        <v>Robust</v>
      </c>
      <c r="Q383" s="6" t="str">
        <f>IFERROR(VLOOKUP(D383,Principles!$B$12:$D$66,3,FALSE()),"")</f>
        <v>A</v>
      </c>
      <c r="R383" s="23" t="s">
        <v>1209</v>
      </c>
    </row>
    <row r="384" spans="1:18" ht="158.44999999999999">
      <c r="A384" s="14" t="s">
        <v>1219</v>
      </c>
      <c r="B384" s="15" t="s">
        <v>1170</v>
      </c>
      <c r="C384" s="16" t="s">
        <v>1171</v>
      </c>
      <c r="D384" s="24" t="s">
        <v>1204</v>
      </c>
      <c r="E384" s="25" t="s">
        <v>1205</v>
      </c>
      <c r="F384" s="22" t="s">
        <v>1220</v>
      </c>
      <c r="G384" s="21" t="s">
        <v>1175</v>
      </c>
      <c r="H384" s="21" t="s">
        <v>1207</v>
      </c>
      <c r="I384" s="21" t="s">
        <v>1221</v>
      </c>
      <c r="J384" s="22"/>
      <c r="K384" s="22"/>
      <c r="L384" s="22"/>
      <c r="M384" s="22"/>
      <c r="N384" s="22"/>
      <c r="O384" s="4">
        <f t="shared" si="5"/>
        <v>4</v>
      </c>
      <c r="P384" s="5" t="str">
        <f>IFERROR(VLOOKUP(O384,Principles!$B$4:$C$7,2,FALSE()),"")</f>
        <v>Robust</v>
      </c>
      <c r="Q384" s="6" t="str">
        <f>IFERROR(VLOOKUP(D384,Principles!$B$12:$D$66,3,FALSE()),"")</f>
        <v>A</v>
      </c>
      <c r="R384" s="23" t="s">
        <v>1209</v>
      </c>
    </row>
    <row r="385" spans="1:18" ht="187.15">
      <c r="A385" s="14" t="s">
        <v>1222</v>
      </c>
      <c r="B385" s="15" t="s">
        <v>1170</v>
      </c>
      <c r="C385" s="16" t="s">
        <v>1171</v>
      </c>
      <c r="D385" s="24" t="s">
        <v>1204</v>
      </c>
      <c r="E385" s="25" t="s">
        <v>1205</v>
      </c>
      <c r="F385" s="22" t="s">
        <v>1223</v>
      </c>
      <c r="G385" s="21" t="s">
        <v>1175</v>
      </c>
      <c r="H385" s="21" t="s">
        <v>1207</v>
      </c>
      <c r="I385" s="21" t="s">
        <v>1224</v>
      </c>
      <c r="J385" s="22"/>
      <c r="K385" s="22"/>
      <c r="L385" s="22"/>
      <c r="M385" s="22"/>
      <c r="N385" s="22"/>
      <c r="O385" s="4">
        <f t="shared" si="5"/>
        <v>4</v>
      </c>
      <c r="P385" s="5" t="str">
        <f>IFERROR(VLOOKUP(O385,Principles!$B$4:$C$7,2,FALSE()),"")</f>
        <v>Robust</v>
      </c>
      <c r="Q385" s="6" t="str">
        <f>IFERROR(VLOOKUP(D385,Principles!$B$12:$D$66,3,FALSE()),"")</f>
        <v>A</v>
      </c>
      <c r="R385" s="23" t="s">
        <v>1209</v>
      </c>
    </row>
    <row r="386" spans="1:18" ht="187.15">
      <c r="A386" s="14" t="s">
        <v>1225</v>
      </c>
      <c r="B386" s="15" t="s">
        <v>1170</v>
      </c>
      <c r="C386" s="16" t="s">
        <v>1171</v>
      </c>
      <c r="D386" s="24" t="s">
        <v>1204</v>
      </c>
      <c r="E386" s="25" t="s">
        <v>1205</v>
      </c>
      <c r="F386" s="22" t="s">
        <v>1226</v>
      </c>
      <c r="G386" s="21" t="s">
        <v>1175</v>
      </c>
      <c r="H386" s="21" t="s">
        <v>1207</v>
      </c>
      <c r="I386" s="21" t="s">
        <v>1227</v>
      </c>
      <c r="J386" s="22"/>
      <c r="K386" s="22"/>
      <c r="L386" s="22"/>
      <c r="M386" s="22"/>
      <c r="N386" s="22"/>
      <c r="O386" s="4">
        <f t="shared" ref="O386:O406" si="6">IFERROR(VALUE(LEFT(D386,FIND(".",D386)-1)),"")</f>
        <v>4</v>
      </c>
      <c r="P386" s="5" t="str">
        <f>IFERROR(VLOOKUP(O386,Principles!$B$4:$C$7,2,FALSE()),"")</f>
        <v>Robust</v>
      </c>
      <c r="Q386" s="6" t="str">
        <f>IFERROR(VLOOKUP(D386,Principles!$B$12:$D$66,3,FALSE()),"")</f>
        <v>A</v>
      </c>
      <c r="R386" s="23" t="s">
        <v>1209</v>
      </c>
    </row>
    <row r="387" spans="1:18" ht="129.6">
      <c r="A387" s="14" t="s">
        <v>1228</v>
      </c>
      <c r="B387" s="15" t="s">
        <v>1170</v>
      </c>
      <c r="C387" s="16" t="s">
        <v>1171</v>
      </c>
      <c r="D387" s="24" t="s">
        <v>1204</v>
      </c>
      <c r="E387" s="25" t="s">
        <v>1205</v>
      </c>
      <c r="F387" s="22" t="s">
        <v>1229</v>
      </c>
      <c r="G387" s="21" t="s">
        <v>1175</v>
      </c>
      <c r="H387" s="21" t="s">
        <v>1207</v>
      </c>
      <c r="I387" s="21" t="s">
        <v>1230</v>
      </c>
      <c r="J387" s="22"/>
      <c r="K387" s="22"/>
      <c r="L387" s="22"/>
      <c r="M387" s="22"/>
      <c r="N387" s="22"/>
      <c r="O387" s="4">
        <f t="shared" si="6"/>
        <v>4</v>
      </c>
      <c r="P387" s="5" t="str">
        <f>IFERROR(VLOOKUP(O387,Principles!$B$4:$C$7,2,FALSE()),"")</f>
        <v>Robust</v>
      </c>
      <c r="Q387" s="6" t="str">
        <f>IFERROR(VLOOKUP(D387,Principles!$B$12:$D$66,3,FALSE()),"")</f>
        <v>A</v>
      </c>
      <c r="R387" s="23" t="s">
        <v>1209</v>
      </c>
    </row>
    <row r="388" spans="1:18" ht="105.6">
      <c r="A388" s="14" t="s">
        <v>115</v>
      </c>
      <c r="B388" s="15" t="s">
        <v>1170</v>
      </c>
      <c r="C388" s="16" t="s">
        <v>1171</v>
      </c>
      <c r="D388" s="24" t="s">
        <v>1204</v>
      </c>
      <c r="E388" s="25" t="s">
        <v>1205</v>
      </c>
      <c r="F388" s="22" t="s">
        <v>1231</v>
      </c>
      <c r="G388" s="21" t="s">
        <v>1175</v>
      </c>
      <c r="H388" s="21" t="s">
        <v>1207</v>
      </c>
      <c r="I388" s="21" t="s">
        <v>117</v>
      </c>
      <c r="J388" s="22"/>
      <c r="K388" s="22"/>
      <c r="L388" s="22"/>
      <c r="M388" s="22"/>
      <c r="N388" s="22"/>
      <c r="O388" s="4">
        <f t="shared" si="6"/>
        <v>4</v>
      </c>
      <c r="P388" s="5" t="str">
        <f>IFERROR(VLOOKUP(O388,Principles!$B$4:$C$7,2,FALSE()),"")</f>
        <v>Robust</v>
      </c>
      <c r="Q388" s="6" t="str">
        <f>IFERROR(VLOOKUP(D388,Principles!$B$12:$D$66,3,FALSE()),"")</f>
        <v>A</v>
      </c>
      <c r="R388" s="23" t="s">
        <v>1209</v>
      </c>
    </row>
    <row r="389" spans="1:18" ht="144">
      <c r="A389" s="14" t="s">
        <v>351</v>
      </c>
      <c r="B389" s="15" t="s">
        <v>1170</v>
      </c>
      <c r="C389" s="16" t="s">
        <v>1171</v>
      </c>
      <c r="D389" s="24" t="s">
        <v>1204</v>
      </c>
      <c r="E389" s="25" t="s">
        <v>1205</v>
      </c>
      <c r="F389" s="22" t="s">
        <v>352</v>
      </c>
      <c r="G389" s="21" t="s">
        <v>1175</v>
      </c>
      <c r="H389" s="21" t="s">
        <v>1207</v>
      </c>
      <c r="I389" s="21" t="s">
        <v>353</v>
      </c>
      <c r="J389" s="22"/>
      <c r="K389" s="22"/>
      <c r="L389" s="22"/>
      <c r="M389" s="22"/>
      <c r="N389" s="22"/>
      <c r="O389" s="4">
        <f t="shared" si="6"/>
        <v>4</v>
      </c>
      <c r="P389" s="5" t="str">
        <f>IFERROR(VLOOKUP(O389,Principles!$B$4:$C$7,2,FALSE()),"")</f>
        <v>Robust</v>
      </c>
      <c r="Q389" s="6" t="str">
        <f>IFERROR(VLOOKUP(D389,Principles!$B$12:$D$66,3,FALSE()),"")</f>
        <v>A</v>
      </c>
      <c r="R389" s="23" t="s">
        <v>1209</v>
      </c>
    </row>
    <row r="390" spans="1:18" ht="374.45">
      <c r="A390" s="14" t="s">
        <v>1232</v>
      </c>
      <c r="B390" s="15" t="s">
        <v>1170</v>
      </c>
      <c r="C390" s="16" t="s">
        <v>1171</v>
      </c>
      <c r="D390" s="24" t="s">
        <v>1204</v>
      </c>
      <c r="E390" s="25" t="s">
        <v>1205</v>
      </c>
      <c r="F390" s="22" t="s">
        <v>1233</v>
      </c>
      <c r="G390" s="21" t="s">
        <v>1175</v>
      </c>
      <c r="H390" s="21" t="s">
        <v>1207</v>
      </c>
      <c r="I390" s="21" t="s">
        <v>1234</v>
      </c>
      <c r="J390" s="22"/>
      <c r="K390" s="22"/>
      <c r="L390" s="22"/>
      <c r="M390" s="22"/>
      <c r="N390" s="22"/>
      <c r="O390" s="4">
        <f t="shared" si="6"/>
        <v>4</v>
      </c>
      <c r="P390" s="5" t="str">
        <f>IFERROR(VLOOKUP(O390,Principles!$B$4:$C$7,2,FALSE()),"")</f>
        <v>Robust</v>
      </c>
      <c r="Q390" s="6" t="str">
        <f>IFERROR(VLOOKUP(D390,Principles!$B$12:$D$66,3,FALSE()),"")</f>
        <v>A</v>
      </c>
      <c r="R390" s="23" t="s">
        <v>1209</v>
      </c>
    </row>
    <row r="391" spans="1:18" ht="187.15">
      <c r="A391" s="14" t="s">
        <v>1235</v>
      </c>
      <c r="B391" s="15" t="s">
        <v>1170</v>
      </c>
      <c r="C391" s="16" t="s">
        <v>1171</v>
      </c>
      <c r="D391" s="24" t="s">
        <v>1204</v>
      </c>
      <c r="E391" s="25" t="s">
        <v>1205</v>
      </c>
      <c r="F391" s="22" t="s">
        <v>1236</v>
      </c>
      <c r="G391" s="21" t="s">
        <v>1175</v>
      </c>
      <c r="H391" s="21" t="s">
        <v>1207</v>
      </c>
      <c r="I391" s="21" t="s">
        <v>1237</v>
      </c>
      <c r="J391" s="22"/>
      <c r="K391" s="22"/>
      <c r="L391" s="22"/>
      <c r="M391" s="22"/>
      <c r="N391" s="22"/>
      <c r="O391" s="4">
        <f t="shared" si="6"/>
        <v>4</v>
      </c>
      <c r="P391" s="5" t="str">
        <f>IFERROR(VLOOKUP(O391,Principles!$B$4:$C$7,2,FALSE()),"")</f>
        <v>Robust</v>
      </c>
      <c r="Q391" s="6" t="str">
        <f>IFERROR(VLOOKUP(D391,Principles!$B$12:$D$66,3,FALSE()),"")</f>
        <v>A</v>
      </c>
      <c r="R391" s="23" t="s">
        <v>1209</v>
      </c>
    </row>
    <row r="392" spans="1:18" ht="129.6">
      <c r="A392" s="14" t="s">
        <v>1238</v>
      </c>
      <c r="B392" s="15" t="s">
        <v>1170</v>
      </c>
      <c r="C392" s="16" t="s">
        <v>1171</v>
      </c>
      <c r="D392" s="24" t="s">
        <v>1204</v>
      </c>
      <c r="E392" s="25" t="s">
        <v>1205</v>
      </c>
      <c r="F392" s="22" t="s">
        <v>1239</v>
      </c>
      <c r="G392" s="21" t="s">
        <v>1175</v>
      </c>
      <c r="H392" s="21" t="s">
        <v>1207</v>
      </c>
      <c r="I392" s="21" t="s">
        <v>1240</v>
      </c>
      <c r="J392" s="22"/>
      <c r="K392" s="22"/>
      <c r="L392" s="22"/>
      <c r="M392" s="22"/>
      <c r="N392" s="22"/>
      <c r="O392" s="4">
        <f t="shared" si="6"/>
        <v>4</v>
      </c>
      <c r="P392" s="5" t="str">
        <f>IFERROR(VLOOKUP(O392,Principles!$B$4:$C$7,2,FALSE()),"")</f>
        <v>Robust</v>
      </c>
      <c r="Q392" s="6" t="str">
        <f>IFERROR(VLOOKUP(D392,Principles!$B$12:$D$66,3,FALSE()),"")</f>
        <v>A</v>
      </c>
      <c r="R392" s="23" t="s">
        <v>1209</v>
      </c>
    </row>
    <row r="393" spans="1:18" ht="172.9">
      <c r="A393" s="14" t="s">
        <v>887</v>
      </c>
      <c r="B393" s="15" t="s">
        <v>1170</v>
      </c>
      <c r="C393" s="16" t="s">
        <v>1171</v>
      </c>
      <c r="D393" s="24" t="s">
        <v>1204</v>
      </c>
      <c r="E393" s="25" t="s">
        <v>1205</v>
      </c>
      <c r="F393" s="22" t="s">
        <v>888</v>
      </c>
      <c r="G393" s="21" t="s">
        <v>1175</v>
      </c>
      <c r="H393" s="21" t="s">
        <v>1207</v>
      </c>
      <c r="I393" s="21" t="s">
        <v>889</v>
      </c>
      <c r="J393" s="22"/>
      <c r="K393" s="22"/>
      <c r="L393" s="22"/>
      <c r="M393" s="22"/>
      <c r="N393" s="22"/>
      <c r="O393" s="4">
        <f t="shared" si="6"/>
        <v>4</v>
      </c>
      <c r="P393" s="5" t="str">
        <f>IFERROR(VLOOKUP(O393,Principles!$B$4:$C$7,2,FALSE()),"")</f>
        <v>Robust</v>
      </c>
      <c r="Q393" s="6" t="str">
        <f>IFERROR(VLOOKUP(D393,Principles!$B$12:$D$66,3,FALSE()),"")</f>
        <v>A</v>
      </c>
      <c r="R393" s="23" t="s">
        <v>1209</v>
      </c>
    </row>
    <row r="394" spans="1:18" ht="172.9">
      <c r="A394" s="14" t="s">
        <v>372</v>
      </c>
      <c r="B394" s="15" t="s">
        <v>1170</v>
      </c>
      <c r="C394" s="16" t="s">
        <v>1171</v>
      </c>
      <c r="D394" s="24" t="s">
        <v>1204</v>
      </c>
      <c r="E394" s="25" t="s">
        <v>1205</v>
      </c>
      <c r="F394" s="22" t="s">
        <v>373</v>
      </c>
      <c r="G394" s="21" t="s">
        <v>1175</v>
      </c>
      <c r="H394" s="21" t="s">
        <v>1207</v>
      </c>
      <c r="I394" s="21" t="s">
        <v>374</v>
      </c>
      <c r="J394" s="22"/>
      <c r="K394" s="22"/>
      <c r="L394" s="22"/>
      <c r="M394" s="22"/>
      <c r="N394" s="22"/>
      <c r="O394" s="4">
        <f t="shared" si="6"/>
        <v>4</v>
      </c>
      <c r="P394" s="5" t="str">
        <f>IFERROR(VLOOKUP(O394,Principles!$B$4:$C$7,2,FALSE()),"")</f>
        <v>Robust</v>
      </c>
      <c r="Q394" s="6" t="str">
        <f>IFERROR(VLOOKUP(D394,Principles!$B$12:$D$66,3,FALSE()),"")</f>
        <v>A</v>
      </c>
      <c r="R394" s="23" t="s">
        <v>1209</v>
      </c>
    </row>
    <row r="395" spans="1:18" ht="216">
      <c r="A395" s="14" t="s">
        <v>1241</v>
      </c>
      <c r="B395" s="15" t="s">
        <v>1170</v>
      </c>
      <c r="C395" s="16" t="s">
        <v>1171</v>
      </c>
      <c r="D395" s="24" t="s">
        <v>1242</v>
      </c>
      <c r="E395" s="25" t="s">
        <v>1243</v>
      </c>
      <c r="F395" s="22" t="s">
        <v>1244</v>
      </c>
      <c r="G395" s="21" t="s">
        <v>1175</v>
      </c>
      <c r="H395" s="21" t="s">
        <v>1245</v>
      </c>
      <c r="I395" s="21" t="s">
        <v>1246</v>
      </c>
      <c r="J395" s="22"/>
      <c r="K395" s="22"/>
      <c r="L395" s="22"/>
      <c r="M395" s="22"/>
      <c r="N395" s="22"/>
      <c r="O395" s="4">
        <f t="shared" si="6"/>
        <v>4</v>
      </c>
      <c r="P395" s="5" t="str">
        <f>IFERROR(VLOOKUP(O395,Principles!$B$4:$C$7,2,FALSE()),"")</f>
        <v>Robust</v>
      </c>
      <c r="Q395" s="6" t="str">
        <f>IFERROR(VLOOKUP(D395,Principles!$B$12:$D$66,3,FALSE()),"")</f>
        <v>AA</v>
      </c>
      <c r="R395" s="23" t="s">
        <v>1247</v>
      </c>
    </row>
    <row r="396" spans="1:18" ht="100.9">
      <c r="A396" s="14" t="s">
        <v>1248</v>
      </c>
      <c r="B396" s="15" t="s">
        <v>1170</v>
      </c>
      <c r="C396" s="16" t="s">
        <v>1171</v>
      </c>
      <c r="D396" s="24" t="s">
        <v>1242</v>
      </c>
      <c r="E396" s="25" t="s">
        <v>1243</v>
      </c>
      <c r="F396" s="22" t="s">
        <v>1249</v>
      </c>
      <c r="G396" s="21" t="s">
        <v>1175</v>
      </c>
      <c r="H396" s="21" t="s">
        <v>1245</v>
      </c>
      <c r="I396" s="21" t="s">
        <v>1250</v>
      </c>
      <c r="J396" s="22"/>
      <c r="K396" s="22"/>
      <c r="L396" s="22"/>
      <c r="M396" s="22"/>
      <c r="N396" s="22"/>
      <c r="O396" s="4">
        <f t="shared" si="6"/>
        <v>4</v>
      </c>
      <c r="P396" s="5" t="str">
        <f>IFERROR(VLOOKUP(O396,Principles!$B$4:$C$7,2,FALSE()),"")</f>
        <v>Robust</v>
      </c>
      <c r="Q396" s="6" t="str">
        <f>IFERROR(VLOOKUP(D396,Principles!$B$12:$D$66,3,FALSE()),"")</f>
        <v>AA</v>
      </c>
      <c r="R396" s="23" t="s">
        <v>1247</v>
      </c>
    </row>
    <row r="397" spans="1:18" ht="129.6">
      <c r="A397" s="14" t="s">
        <v>1099</v>
      </c>
      <c r="B397" s="15" t="s">
        <v>1170</v>
      </c>
      <c r="C397" s="16" t="s">
        <v>1171</v>
      </c>
      <c r="D397" s="24" t="s">
        <v>1242</v>
      </c>
      <c r="E397" s="25" t="s">
        <v>1243</v>
      </c>
      <c r="F397" s="22" t="s">
        <v>1100</v>
      </c>
      <c r="G397" s="21" t="s">
        <v>1175</v>
      </c>
      <c r="H397" s="21" t="s">
        <v>1245</v>
      </c>
      <c r="I397" s="21" t="s">
        <v>1101</v>
      </c>
      <c r="J397" s="22"/>
      <c r="K397" s="22"/>
      <c r="L397" s="22"/>
      <c r="M397" s="22"/>
      <c r="N397" s="22"/>
      <c r="O397" s="4">
        <f t="shared" si="6"/>
        <v>4</v>
      </c>
      <c r="P397" s="5" t="str">
        <f>IFERROR(VLOOKUP(O397,Principles!$B$4:$C$7,2,FALSE()),"")</f>
        <v>Robust</v>
      </c>
      <c r="Q397" s="6" t="str">
        <f>IFERROR(VLOOKUP(D397,Principles!$B$12:$D$66,3,FALSE()),"")</f>
        <v>AA</v>
      </c>
      <c r="R397" s="23" t="s">
        <v>1247</v>
      </c>
    </row>
    <row r="398" spans="1:18" ht="172.9">
      <c r="A398" s="14" t="s">
        <v>1077</v>
      </c>
      <c r="B398" s="15" t="s">
        <v>1170</v>
      </c>
      <c r="C398" s="16" t="s">
        <v>1171</v>
      </c>
      <c r="D398" s="24" t="s">
        <v>1242</v>
      </c>
      <c r="E398" s="25" t="s">
        <v>1243</v>
      </c>
      <c r="F398" s="22" t="s">
        <v>1082</v>
      </c>
      <c r="G398" s="21" t="s">
        <v>1175</v>
      </c>
      <c r="H398" s="21" t="s">
        <v>1245</v>
      </c>
      <c r="I398" s="21" t="s">
        <v>1085</v>
      </c>
      <c r="J398" s="22"/>
      <c r="K398" s="22"/>
      <c r="L398" s="22"/>
      <c r="M398" s="22"/>
      <c r="N398" s="22"/>
      <c r="O398" s="4">
        <f t="shared" si="6"/>
        <v>4</v>
      </c>
      <c r="P398" s="5" t="str">
        <f>IFERROR(VLOOKUP(O398,Principles!$B$4:$C$7,2,FALSE()),"")</f>
        <v>Robust</v>
      </c>
      <c r="Q398" s="6" t="str">
        <f>IFERROR(VLOOKUP(D398,Principles!$B$12:$D$66,3,FALSE()),"")</f>
        <v>AA</v>
      </c>
      <c r="R398" s="23" t="s">
        <v>1247</v>
      </c>
    </row>
    <row r="399" spans="1:18" ht="86.45">
      <c r="A399" s="14" t="s">
        <v>1102</v>
      </c>
      <c r="B399" s="15" t="s">
        <v>1170</v>
      </c>
      <c r="C399" s="16" t="s">
        <v>1171</v>
      </c>
      <c r="D399" s="24" t="s">
        <v>1242</v>
      </c>
      <c r="E399" s="25" t="s">
        <v>1243</v>
      </c>
      <c r="F399" s="22" t="s">
        <v>1103</v>
      </c>
      <c r="G399" s="21" t="s">
        <v>1175</v>
      </c>
      <c r="H399" s="21" t="s">
        <v>1245</v>
      </c>
      <c r="I399" s="21" t="s">
        <v>1104</v>
      </c>
      <c r="J399" s="22"/>
      <c r="K399" s="22"/>
      <c r="L399" s="22"/>
      <c r="M399" s="22"/>
      <c r="N399" s="22"/>
      <c r="O399" s="4">
        <f t="shared" si="6"/>
        <v>4</v>
      </c>
      <c r="P399" s="5" t="str">
        <f>IFERROR(VLOOKUP(O399,Principles!$B$4:$C$7,2,FALSE()),"")</f>
        <v>Robust</v>
      </c>
      <c r="Q399" s="6" t="str">
        <f>IFERROR(VLOOKUP(D399,Principles!$B$12:$D$66,3,FALSE()),"")</f>
        <v>AA</v>
      </c>
      <c r="R399" s="23" t="s">
        <v>1247</v>
      </c>
    </row>
    <row r="400" spans="1:18" ht="187.15">
      <c r="A400" s="14" t="s">
        <v>1105</v>
      </c>
      <c r="B400" s="15" t="s">
        <v>1170</v>
      </c>
      <c r="C400" s="16" t="s">
        <v>1171</v>
      </c>
      <c r="D400" s="24" t="s">
        <v>1242</v>
      </c>
      <c r="E400" s="25" t="s">
        <v>1243</v>
      </c>
      <c r="F400" s="22" t="s">
        <v>1106</v>
      </c>
      <c r="G400" s="21" t="s">
        <v>1175</v>
      </c>
      <c r="H400" s="21" t="s">
        <v>1245</v>
      </c>
      <c r="I400" s="21" t="s">
        <v>1107</v>
      </c>
      <c r="J400" s="22"/>
      <c r="K400" s="22"/>
      <c r="L400" s="22"/>
      <c r="M400" s="22"/>
      <c r="N400" s="22"/>
      <c r="O400" s="4">
        <f t="shared" si="6"/>
        <v>4</v>
      </c>
      <c r="P400" s="5" t="str">
        <f>IFERROR(VLOOKUP(O400,Principles!$B$4:$C$7,2,FALSE()),"")</f>
        <v>Robust</v>
      </c>
      <c r="Q400" s="6" t="str">
        <f>IFERROR(VLOOKUP(D400,Principles!$B$12:$D$66,3,FALSE()),"")</f>
        <v>AA</v>
      </c>
      <c r="R400" s="23" t="s">
        <v>1247</v>
      </c>
    </row>
    <row r="401" spans="1:18" ht="158.44999999999999">
      <c r="A401" s="14" t="s">
        <v>1147</v>
      </c>
      <c r="B401" s="15" t="s">
        <v>1170</v>
      </c>
      <c r="C401" s="16" t="s">
        <v>1171</v>
      </c>
      <c r="D401" s="24" t="s">
        <v>1242</v>
      </c>
      <c r="E401" s="25" t="s">
        <v>1243</v>
      </c>
      <c r="F401" s="22" t="s">
        <v>1148</v>
      </c>
      <c r="G401" s="21" t="s">
        <v>1175</v>
      </c>
      <c r="H401" s="21" t="s">
        <v>1245</v>
      </c>
      <c r="I401" s="21" t="s">
        <v>1149</v>
      </c>
      <c r="J401" s="22"/>
      <c r="K401" s="22"/>
      <c r="L401" s="22"/>
      <c r="M401" s="22"/>
      <c r="N401" s="22"/>
      <c r="O401" s="4">
        <f t="shared" si="6"/>
        <v>4</v>
      </c>
      <c r="P401" s="5" t="str">
        <f>IFERROR(VLOOKUP(O401,Principles!$B$4:$C$7,2,FALSE()),"")</f>
        <v>Robust</v>
      </c>
      <c r="Q401" s="6" t="str">
        <f>IFERROR(VLOOKUP(D401,Principles!$B$12:$D$66,3,FALSE()),"")</f>
        <v>AA</v>
      </c>
      <c r="R401" s="23" t="s">
        <v>1247</v>
      </c>
    </row>
    <row r="402" spans="1:18" ht="115.15">
      <c r="A402" s="14" t="s">
        <v>1251</v>
      </c>
      <c r="B402" s="15" t="s">
        <v>1170</v>
      </c>
      <c r="C402" s="16" t="s">
        <v>1171</v>
      </c>
      <c r="D402" s="24" t="s">
        <v>1242</v>
      </c>
      <c r="E402" s="25" t="s">
        <v>1243</v>
      </c>
      <c r="F402" s="22" t="s">
        <v>1252</v>
      </c>
      <c r="G402" s="21" t="s">
        <v>1175</v>
      </c>
      <c r="H402" s="21" t="s">
        <v>1245</v>
      </c>
      <c r="I402" s="21" t="s">
        <v>1253</v>
      </c>
      <c r="J402" s="22"/>
      <c r="K402" s="22"/>
      <c r="L402" s="22"/>
      <c r="M402" s="22"/>
      <c r="N402" s="22"/>
      <c r="O402" s="4">
        <f t="shared" si="6"/>
        <v>4</v>
      </c>
      <c r="P402" s="5" t="str">
        <f>IFERROR(VLOOKUP(O402,Principles!$B$4:$C$7,2,FALSE()),"")</f>
        <v>Robust</v>
      </c>
      <c r="Q402" s="6" t="str">
        <f>IFERROR(VLOOKUP(D402,Principles!$B$12:$D$66,3,FALSE()),"")</f>
        <v>AA</v>
      </c>
      <c r="R402" s="23" t="s">
        <v>1247</v>
      </c>
    </row>
    <row r="403" spans="1:18" ht="100.9">
      <c r="A403" s="14" t="s">
        <v>1254</v>
      </c>
      <c r="B403" s="15" t="s">
        <v>1170</v>
      </c>
      <c r="C403" s="16" t="s">
        <v>1171</v>
      </c>
      <c r="D403" s="24" t="s">
        <v>1242</v>
      </c>
      <c r="E403" s="25" t="s">
        <v>1243</v>
      </c>
      <c r="F403" s="22" t="s">
        <v>1255</v>
      </c>
      <c r="G403" s="21" t="s">
        <v>1175</v>
      </c>
      <c r="H403" s="21" t="s">
        <v>1245</v>
      </c>
      <c r="I403" s="21" t="s">
        <v>1256</v>
      </c>
      <c r="J403" s="22"/>
      <c r="K403" s="22"/>
      <c r="L403" s="22"/>
      <c r="M403" s="22"/>
      <c r="N403" s="22"/>
      <c r="O403" s="4">
        <f t="shared" si="6"/>
        <v>4</v>
      </c>
      <c r="P403" s="5" t="str">
        <f>IFERROR(VLOOKUP(O403,Principles!$B$4:$C$7,2,FALSE()),"")</f>
        <v>Robust</v>
      </c>
      <c r="Q403" s="6" t="str">
        <f>IFERROR(VLOOKUP(D403,Principles!$B$12:$D$66,3,FALSE()),"")</f>
        <v>AA</v>
      </c>
      <c r="R403" s="23" t="s">
        <v>1247</v>
      </c>
    </row>
    <row r="404" spans="1:18" ht="115.15">
      <c r="A404" s="14" t="s">
        <v>1257</v>
      </c>
      <c r="B404" s="15" t="s">
        <v>1170</v>
      </c>
      <c r="C404" s="16" t="s">
        <v>1171</v>
      </c>
      <c r="D404" s="24" t="s">
        <v>1242</v>
      </c>
      <c r="E404" s="25" t="s">
        <v>1243</v>
      </c>
      <c r="F404" s="22" t="s">
        <v>1258</v>
      </c>
      <c r="G404" s="21" t="s">
        <v>1175</v>
      </c>
      <c r="H404" s="21" t="s">
        <v>1245</v>
      </c>
      <c r="I404" s="36" t="s">
        <v>1259</v>
      </c>
      <c r="J404" s="22"/>
      <c r="K404" s="22"/>
      <c r="L404" s="22"/>
      <c r="M404" s="22"/>
      <c r="N404" s="22"/>
      <c r="O404" s="4">
        <f t="shared" si="6"/>
        <v>4</v>
      </c>
      <c r="P404" s="5" t="str">
        <f>IFERROR(VLOOKUP(O404,Principles!$B$4:$C$7,2,FALSE()),"")</f>
        <v>Robust</v>
      </c>
      <c r="Q404" s="6" t="str">
        <f>IFERROR(VLOOKUP(D404,Principles!$B$12:$D$66,3,FALSE()),"")</f>
        <v>AA</v>
      </c>
      <c r="R404" s="23" t="s">
        <v>1247</v>
      </c>
    </row>
    <row r="405" spans="1:18" ht="86.45">
      <c r="A405" s="14" t="s">
        <v>1260</v>
      </c>
      <c r="B405" s="15" t="s">
        <v>1170</v>
      </c>
      <c r="C405" s="16" t="s">
        <v>1171</v>
      </c>
      <c r="D405" s="24" t="s">
        <v>1242</v>
      </c>
      <c r="E405" s="25" t="s">
        <v>1243</v>
      </c>
      <c r="F405" s="22" t="s">
        <v>1261</v>
      </c>
      <c r="G405" s="21" t="s">
        <v>1175</v>
      </c>
      <c r="H405" s="21" t="s">
        <v>1245</v>
      </c>
      <c r="I405" s="21" t="s">
        <v>1262</v>
      </c>
      <c r="J405" s="22"/>
      <c r="K405" s="22"/>
      <c r="L405" s="22"/>
      <c r="M405" s="22"/>
      <c r="N405" s="22"/>
      <c r="O405" s="4">
        <f t="shared" si="6"/>
        <v>4</v>
      </c>
      <c r="P405" s="5" t="str">
        <f>IFERROR(VLOOKUP(O405,Principles!$B$4:$C$7,2,FALSE()),"")</f>
        <v>Robust</v>
      </c>
      <c r="Q405" s="6" t="str">
        <f>IFERROR(VLOOKUP(D405,Principles!$B$12:$D$66,3,FALSE()),"")</f>
        <v>AA</v>
      </c>
      <c r="R405" s="23" t="s">
        <v>1247</v>
      </c>
    </row>
    <row r="406" spans="1:18" ht="288">
      <c r="A406" s="14" t="s">
        <v>1263</v>
      </c>
      <c r="B406" s="15" t="s">
        <v>1170</v>
      </c>
      <c r="C406" s="16" t="s">
        <v>1171</v>
      </c>
      <c r="D406" s="24" t="s">
        <v>1242</v>
      </c>
      <c r="E406" s="25" t="s">
        <v>1243</v>
      </c>
      <c r="F406" s="22" t="s">
        <v>1264</v>
      </c>
      <c r="G406" s="21" t="s">
        <v>1175</v>
      </c>
      <c r="H406" s="21" t="s">
        <v>1245</v>
      </c>
      <c r="I406" s="21" t="s">
        <v>1265</v>
      </c>
      <c r="J406" s="22"/>
      <c r="K406" s="22"/>
      <c r="L406" s="22"/>
      <c r="M406" s="22"/>
      <c r="N406" s="22"/>
      <c r="O406" s="4">
        <f t="shared" si="6"/>
        <v>4</v>
      </c>
      <c r="P406" s="5" t="str">
        <f>IFERROR(VLOOKUP(O406,Principles!$B$4:$C$7,2,FALSE()),"")</f>
        <v>Robust</v>
      </c>
      <c r="Q406" s="6" t="str">
        <f>IFERROR(VLOOKUP(D406,Principles!$B$12:$D$66,3,FALSE()),"")</f>
        <v>AA</v>
      </c>
      <c r="R406" s="23" t="s">
        <v>1247</v>
      </c>
    </row>
  </sheetData>
  <autoFilter ref="A1:O170" xr:uid="{00000000-0009-0000-0000-000000000000}"/>
  <hyperlinks>
    <hyperlink ref="H2" r:id="rId1" location="non-text-content" xr:uid="{00000000-0004-0000-0000-000000000000}"/>
    <hyperlink ref="I2" r:id="rId2" xr:uid="{00000000-0004-0000-0000-000001000000}"/>
    <hyperlink ref="G3" r:id="rId3" location="time-based-media" xr:uid="{00000000-0004-0000-0000-000002000000}"/>
    <hyperlink ref="H3" r:id="rId4" location="audio-only-and-video-only-prerecorded" xr:uid="{00000000-0004-0000-0000-000003000000}"/>
    <hyperlink ref="I3" r:id="rId5" xr:uid="{00000000-0004-0000-0000-000004000000}"/>
    <hyperlink ref="I404" r:id="rId6" xr:uid="{84827F23-A2A7-47EC-AD73-003356E7051A}"/>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I66"/>
  <sheetViews>
    <sheetView zoomScaleNormal="100" workbookViewId="0">
      <selection activeCell="H24" sqref="H24"/>
    </sheetView>
  </sheetViews>
  <sheetFormatPr defaultColWidth="8.5703125" defaultRowHeight="14.45"/>
  <cols>
    <col min="1" max="1" width="12.140625" customWidth="1"/>
    <col min="2" max="2" width="8.5703125" style="2"/>
    <col min="3" max="3" width="48.28515625" style="2" customWidth="1"/>
    <col min="4" max="4" width="8.5703125" style="27"/>
    <col min="7" max="7" width="8.5703125" style="27"/>
    <col min="8" max="8" width="28.42578125" customWidth="1"/>
    <col min="9" max="9" width="14.85546875" customWidth="1"/>
  </cols>
  <sheetData>
    <row r="3" spans="2:9" ht="14.25" customHeight="1">
      <c r="B3" s="28" t="s">
        <v>1266</v>
      </c>
      <c r="C3" s="28" t="s">
        <v>1267</v>
      </c>
      <c r="G3" s="29" t="s">
        <v>1268</v>
      </c>
      <c r="H3" s="30" t="s">
        <v>1269</v>
      </c>
      <c r="I3" s="30" t="s">
        <v>1270</v>
      </c>
    </row>
    <row r="4" spans="2:9" ht="14.25" customHeight="1">
      <c r="B4" s="2">
        <v>1</v>
      </c>
      <c r="C4" s="2" t="s">
        <v>1271</v>
      </c>
      <c r="G4" s="27">
        <v>1.1000000000000001</v>
      </c>
      <c r="H4" t="s">
        <v>19</v>
      </c>
      <c r="I4" t="s">
        <v>1271</v>
      </c>
    </row>
    <row r="5" spans="2:9" ht="14.25" customHeight="1">
      <c r="B5" s="2">
        <v>2</v>
      </c>
      <c r="C5" s="2" t="s">
        <v>1272</v>
      </c>
      <c r="G5" s="27">
        <v>1.2</v>
      </c>
      <c r="H5" t="s">
        <v>140</v>
      </c>
      <c r="I5" t="s">
        <v>1271</v>
      </c>
    </row>
    <row r="6" spans="2:9" ht="14.25" customHeight="1">
      <c r="B6" s="2">
        <v>3</v>
      </c>
      <c r="C6" s="2" t="s">
        <v>1273</v>
      </c>
      <c r="G6" s="27">
        <v>1.3</v>
      </c>
      <c r="H6" t="s">
        <v>235</v>
      </c>
      <c r="I6" t="s">
        <v>1271</v>
      </c>
    </row>
    <row r="7" spans="2:9" ht="14.25" customHeight="1">
      <c r="B7" s="2">
        <v>4</v>
      </c>
      <c r="C7" s="2" t="s">
        <v>1274</v>
      </c>
      <c r="G7" s="27">
        <v>1.4</v>
      </c>
      <c r="H7" t="s">
        <v>446</v>
      </c>
      <c r="I7" t="s">
        <v>1271</v>
      </c>
    </row>
    <row r="8" spans="2:9" ht="14.25" customHeight="1">
      <c r="G8" s="27">
        <v>2.1</v>
      </c>
      <c r="H8" t="s">
        <v>636</v>
      </c>
      <c r="I8" t="s">
        <v>1272</v>
      </c>
    </row>
    <row r="9" spans="2:9" ht="14.25" customHeight="1">
      <c r="G9" s="27">
        <v>2.2000000000000002</v>
      </c>
      <c r="H9" t="s">
        <v>690</v>
      </c>
      <c r="I9" t="s">
        <v>1272</v>
      </c>
    </row>
    <row r="10" spans="2:9" ht="14.25" customHeight="1">
      <c r="G10" s="27">
        <v>2.2999999999999998</v>
      </c>
      <c r="H10" t="s">
        <v>761</v>
      </c>
      <c r="I10" t="s">
        <v>1272</v>
      </c>
    </row>
    <row r="11" spans="2:9" ht="14.25" customHeight="1">
      <c r="B11" s="28" t="s">
        <v>1268</v>
      </c>
      <c r="C11" s="28" t="s">
        <v>1275</v>
      </c>
      <c r="D11" s="29" t="s">
        <v>16</v>
      </c>
      <c r="G11" s="27">
        <v>2.4</v>
      </c>
      <c r="H11" t="s">
        <v>777</v>
      </c>
      <c r="I11" t="s">
        <v>1272</v>
      </c>
    </row>
    <row r="12" spans="2:9" ht="14.25" customHeight="1">
      <c r="B12" s="2" t="s">
        <v>21</v>
      </c>
      <c r="C12" s="2" t="s">
        <v>22</v>
      </c>
      <c r="D12" s="27" t="s">
        <v>1276</v>
      </c>
      <c r="G12" s="27">
        <v>2.5</v>
      </c>
      <c r="H12" t="s">
        <v>945</v>
      </c>
      <c r="I12" t="s">
        <v>1272</v>
      </c>
    </row>
    <row r="13" spans="2:9" ht="14.25" customHeight="1">
      <c r="B13" s="2" t="s">
        <v>142</v>
      </c>
      <c r="C13" s="2" t="s">
        <v>143</v>
      </c>
      <c r="D13" s="27" t="s">
        <v>1276</v>
      </c>
      <c r="G13" s="27">
        <v>3.1</v>
      </c>
      <c r="H13" t="s">
        <v>997</v>
      </c>
      <c r="I13" t="s">
        <v>1273</v>
      </c>
    </row>
    <row r="14" spans="2:9" ht="14.25" customHeight="1">
      <c r="B14" s="2" t="s">
        <v>156</v>
      </c>
      <c r="C14" s="2" t="s">
        <v>157</v>
      </c>
      <c r="D14" s="27" t="s">
        <v>1276</v>
      </c>
      <c r="G14" s="27">
        <v>3.2</v>
      </c>
      <c r="H14" t="s">
        <v>1020</v>
      </c>
      <c r="I14" t="s">
        <v>1273</v>
      </c>
    </row>
    <row r="15" spans="2:9" ht="14.25" customHeight="1">
      <c r="B15" s="2" t="s">
        <v>184</v>
      </c>
      <c r="C15" s="2" t="s">
        <v>185</v>
      </c>
      <c r="D15" s="27" t="s">
        <v>1276</v>
      </c>
      <c r="G15" s="27">
        <v>3.3</v>
      </c>
      <c r="H15" t="s">
        <v>1078</v>
      </c>
      <c r="I15" t="s">
        <v>1273</v>
      </c>
    </row>
    <row r="16" spans="2:9" ht="14.25" customHeight="1">
      <c r="B16" s="2" t="s">
        <v>221</v>
      </c>
      <c r="C16" s="2" t="s">
        <v>222</v>
      </c>
      <c r="D16" s="27" t="s">
        <v>1277</v>
      </c>
      <c r="G16" s="27">
        <v>4.0999999999999996</v>
      </c>
      <c r="H16" t="s">
        <v>1170</v>
      </c>
      <c r="I16" t="s">
        <v>1274</v>
      </c>
    </row>
    <row r="17" spans="2:4" ht="14.25" customHeight="1">
      <c r="B17" s="2" t="s">
        <v>227</v>
      </c>
      <c r="C17" s="2" t="s">
        <v>228</v>
      </c>
      <c r="D17" s="27" t="s">
        <v>1277</v>
      </c>
    </row>
    <row r="18" spans="2:4" ht="14.25" customHeight="1">
      <c r="B18" s="2" t="s">
        <v>237</v>
      </c>
      <c r="C18" s="2" t="s">
        <v>238</v>
      </c>
      <c r="D18" s="27" t="s">
        <v>1276</v>
      </c>
    </row>
    <row r="19" spans="2:4" ht="14.25" customHeight="1">
      <c r="B19" s="2" t="s">
        <v>376</v>
      </c>
      <c r="C19" s="2" t="s">
        <v>377</v>
      </c>
      <c r="D19" s="27" t="s">
        <v>1276</v>
      </c>
    </row>
    <row r="20" spans="2:4" ht="14.25" customHeight="1">
      <c r="B20" s="2" t="s">
        <v>410</v>
      </c>
      <c r="C20" s="2" t="s">
        <v>411</v>
      </c>
      <c r="D20" s="27" t="s">
        <v>1276</v>
      </c>
    </row>
    <row r="21" spans="2:4" ht="14.25" customHeight="1">
      <c r="B21" s="2" t="s">
        <v>423</v>
      </c>
      <c r="C21" s="2" t="s">
        <v>424</v>
      </c>
      <c r="D21" s="27" t="s">
        <v>1277</v>
      </c>
    </row>
    <row r="22" spans="2:4" ht="14.25" customHeight="1">
      <c r="B22" s="2" t="s">
        <v>436</v>
      </c>
      <c r="C22" s="2" t="s">
        <v>437</v>
      </c>
      <c r="D22" s="27" t="s">
        <v>1277</v>
      </c>
    </row>
    <row r="23" spans="2:4" ht="14.25" customHeight="1">
      <c r="B23" s="2" t="s">
        <v>448</v>
      </c>
      <c r="C23" s="2" t="s">
        <v>449</v>
      </c>
      <c r="D23" s="27" t="s">
        <v>1276</v>
      </c>
    </row>
    <row r="24" spans="2:4" ht="14.25" customHeight="1">
      <c r="B24" s="2" t="s">
        <v>475</v>
      </c>
      <c r="C24" s="2" t="s">
        <v>476</v>
      </c>
      <c r="D24" s="27" t="s">
        <v>1276</v>
      </c>
    </row>
    <row r="25" spans="2:4" ht="14.25" customHeight="1">
      <c r="B25" s="2" t="s">
        <v>494</v>
      </c>
      <c r="C25" s="2" t="s">
        <v>495</v>
      </c>
      <c r="D25" s="27" t="s">
        <v>1277</v>
      </c>
    </row>
    <row r="26" spans="2:4" ht="14.25" customHeight="1">
      <c r="B26" s="2" t="s">
        <v>516</v>
      </c>
      <c r="C26" s="2" t="s">
        <v>517</v>
      </c>
      <c r="D26" s="27" t="s">
        <v>1277</v>
      </c>
    </row>
    <row r="27" spans="2:4" ht="14.25" customHeight="1">
      <c r="B27" s="2" t="s">
        <v>556</v>
      </c>
      <c r="C27" s="2" t="s">
        <v>557</v>
      </c>
      <c r="D27" s="27" t="s">
        <v>1277</v>
      </c>
    </row>
    <row r="28" spans="2:4" ht="14.25" customHeight="1">
      <c r="B28" s="2" t="s">
        <v>569</v>
      </c>
      <c r="C28" s="2" t="s">
        <v>570</v>
      </c>
      <c r="D28" s="27" t="s">
        <v>1277</v>
      </c>
    </row>
    <row r="29" spans="2:4" ht="14.25" customHeight="1">
      <c r="B29" s="2" t="s">
        <v>597</v>
      </c>
      <c r="C29" s="2" t="s">
        <v>598</v>
      </c>
      <c r="D29" s="27" t="s">
        <v>1277</v>
      </c>
    </row>
    <row r="30" spans="2:4" ht="14.25" customHeight="1">
      <c r="B30" s="2" t="s">
        <v>613</v>
      </c>
      <c r="C30" s="2" t="s">
        <v>614</v>
      </c>
      <c r="D30" s="27" t="s">
        <v>1277</v>
      </c>
    </row>
    <row r="31" spans="2:4" ht="14.25" customHeight="1">
      <c r="B31" s="2" t="s">
        <v>626</v>
      </c>
      <c r="C31" s="2" t="s">
        <v>627</v>
      </c>
      <c r="D31" s="27" t="s">
        <v>1277</v>
      </c>
    </row>
    <row r="32" spans="2:4" ht="14.25" customHeight="1">
      <c r="B32" s="2" t="s">
        <v>638</v>
      </c>
      <c r="C32" s="2" t="s">
        <v>639</v>
      </c>
      <c r="D32" s="27" t="s">
        <v>1276</v>
      </c>
    </row>
    <row r="33" spans="2:4" ht="14.25" customHeight="1">
      <c r="B33" s="2" t="s">
        <v>670</v>
      </c>
      <c r="C33" s="2" t="s">
        <v>671</v>
      </c>
      <c r="D33" s="27" t="s">
        <v>1276</v>
      </c>
    </row>
    <row r="34" spans="2:4" ht="14.25" customHeight="1">
      <c r="B34" s="2" t="s">
        <v>680</v>
      </c>
      <c r="C34" s="2" t="s">
        <v>681</v>
      </c>
      <c r="D34" s="27" t="s">
        <v>1276</v>
      </c>
    </row>
    <row r="35" spans="2:4" ht="14.25" customHeight="1">
      <c r="B35" s="2" t="s">
        <v>692</v>
      </c>
      <c r="C35" s="2" t="s">
        <v>693</v>
      </c>
      <c r="D35" s="27" t="s">
        <v>1276</v>
      </c>
    </row>
    <row r="36" spans="2:4" ht="14.25" customHeight="1">
      <c r="B36" s="2" t="s">
        <v>729</v>
      </c>
      <c r="C36" s="2" t="s">
        <v>730</v>
      </c>
      <c r="D36" s="27" t="s">
        <v>1276</v>
      </c>
    </row>
    <row r="37" spans="2:4" ht="14.25" customHeight="1">
      <c r="B37" s="2" t="s">
        <v>763</v>
      </c>
      <c r="C37" s="2" t="s">
        <v>764</v>
      </c>
      <c r="D37" s="27" t="s">
        <v>1276</v>
      </c>
    </row>
    <row r="38" spans="2:4" ht="14.25" customHeight="1">
      <c r="B38" s="2" t="s">
        <v>779</v>
      </c>
      <c r="C38" s="2" t="s">
        <v>780</v>
      </c>
      <c r="D38" s="27" t="s">
        <v>1276</v>
      </c>
    </row>
    <row r="39" spans="2:4" ht="14.25" customHeight="1">
      <c r="B39" s="2" t="s">
        <v>802</v>
      </c>
      <c r="C39" s="2" t="s">
        <v>803</v>
      </c>
      <c r="D39" s="27" t="s">
        <v>1276</v>
      </c>
    </row>
    <row r="40" spans="2:4" ht="14.25" customHeight="1">
      <c r="B40" s="2" t="s">
        <v>818</v>
      </c>
      <c r="C40" s="2" t="s">
        <v>819</v>
      </c>
      <c r="D40" s="27" t="s">
        <v>1276</v>
      </c>
    </row>
    <row r="41" spans="2:4" ht="14.25" customHeight="1">
      <c r="B41" s="2" t="s">
        <v>840</v>
      </c>
      <c r="C41" s="2" t="s">
        <v>841</v>
      </c>
      <c r="D41" s="27" t="s">
        <v>1276</v>
      </c>
    </row>
    <row r="42" spans="2:4" ht="14.25" customHeight="1">
      <c r="B42" s="2" t="s">
        <v>891</v>
      </c>
      <c r="C42" s="2" t="s">
        <v>892</v>
      </c>
      <c r="D42" s="27" t="s">
        <v>1277</v>
      </c>
    </row>
    <row r="43" spans="2:4" ht="14.25" customHeight="1">
      <c r="B43" s="2" t="s">
        <v>913</v>
      </c>
      <c r="C43" s="2" t="s">
        <v>914</v>
      </c>
      <c r="D43" s="27" t="s">
        <v>1277</v>
      </c>
    </row>
    <row r="44" spans="2:4" ht="14.25" customHeight="1">
      <c r="B44" s="2" t="s">
        <v>923</v>
      </c>
      <c r="C44" s="2" t="s">
        <v>924</v>
      </c>
      <c r="D44" s="27" t="s">
        <v>1277</v>
      </c>
    </row>
    <row r="45" spans="2:4" ht="14.25" customHeight="1">
      <c r="B45" s="2" t="s">
        <v>1278</v>
      </c>
      <c r="C45" s="2" t="s">
        <v>1279</v>
      </c>
      <c r="D45" s="27" t="s">
        <v>1277</v>
      </c>
    </row>
    <row r="46" spans="2:4" ht="14.25" customHeight="1">
      <c r="B46" s="2" t="s">
        <v>947</v>
      </c>
      <c r="C46" s="2" t="s">
        <v>948</v>
      </c>
      <c r="D46" s="27" t="s">
        <v>1276</v>
      </c>
    </row>
    <row r="47" spans="2:4" ht="14.25" customHeight="1">
      <c r="B47" s="2" t="s">
        <v>961</v>
      </c>
      <c r="C47" s="2" t="s">
        <v>962</v>
      </c>
      <c r="D47" s="27" t="s">
        <v>1276</v>
      </c>
    </row>
    <row r="48" spans="2:4" ht="14.25" customHeight="1">
      <c r="B48" s="2" t="s">
        <v>974</v>
      </c>
      <c r="C48" s="2" t="s">
        <v>975</v>
      </c>
      <c r="D48" s="27" t="s">
        <v>1276</v>
      </c>
    </row>
    <row r="49" spans="2:4" ht="14.25" customHeight="1">
      <c r="B49" s="2" t="s">
        <v>987</v>
      </c>
      <c r="C49" s="2" t="s">
        <v>988</v>
      </c>
      <c r="D49" s="27" t="s">
        <v>1276</v>
      </c>
    </row>
    <row r="50" spans="2:4" ht="14.25" customHeight="1">
      <c r="B50" s="2" t="s">
        <v>1280</v>
      </c>
      <c r="C50" s="2" t="s">
        <v>1281</v>
      </c>
      <c r="D50" s="27" t="s">
        <v>1277</v>
      </c>
    </row>
    <row r="51" spans="2:4" ht="14.25" customHeight="1">
      <c r="B51" s="2" t="s">
        <v>1282</v>
      </c>
      <c r="C51" s="2" t="s">
        <v>1283</v>
      </c>
      <c r="D51" s="27" t="s">
        <v>1277</v>
      </c>
    </row>
    <row r="52" spans="2:4" ht="14.25" customHeight="1">
      <c r="B52" s="2" t="s">
        <v>999</v>
      </c>
      <c r="C52" s="2" t="s">
        <v>1000</v>
      </c>
      <c r="D52" s="27" t="s">
        <v>1276</v>
      </c>
    </row>
    <row r="53" spans="2:4" ht="14.25" customHeight="1">
      <c r="B53" s="2" t="s">
        <v>1013</v>
      </c>
      <c r="C53" s="2" t="s">
        <v>1014</v>
      </c>
      <c r="D53" s="27" t="s">
        <v>1277</v>
      </c>
    </row>
    <row r="54" spans="2:4" ht="14.25" customHeight="1">
      <c r="B54" s="2" t="s">
        <v>1022</v>
      </c>
      <c r="C54" s="2" t="s">
        <v>1023</v>
      </c>
      <c r="D54" s="27" t="s">
        <v>1276</v>
      </c>
    </row>
    <row r="55" spans="2:4" ht="14.25" customHeight="1">
      <c r="B55" s="2" t="s">
        <v>1030</v>
      </c>
      <c r="C55" s="2" t="s">
        <v>1031</v>
      </c>
      <c r="D55" s="27" t="s">
        <v>1276</v>
      </c>
    </row>
    <row r="56" spans="2:4" ht="14.25" customHeight="1">
      <c r="B56" s="2" t="s">
        <v>1058</v>
      </c>
      <c r="C56" s="2" t="s">
        <v>1059</v>
      </c>
      <c r="D56" s="27" t="s">
        <v>1277</v>
      </c>
    </row>
    <row r="57" spans="2:4" ht="14.25" customHeight="1">
      <c r="B57" s="2" t="s">
        <v>1068</v>
      </c>
      <c r="C57" s="2" t="s">
        <v>1069</v>
      </c>
      <c r="D57" s="27" t="s">
        <v>1277</v>
      </c>
    </row>
    <row r="58" spans="2:4" ht="14.25" customHeight="1">
      <c r="B58" s="2" t="s">
        <v>1284</v>
      </c>
      <c r="C58" s="2" t="s">
        <v>1285</v>
      </c>
      <c r="D58" s="27" t="s">
        <v>1276</v>
      </c>
    </row>
    <row r="59" spans="2:4" ht="14.25" customHeight="1">
      <c r="B59" s="2" t="s">
        <v>1080</v>
      </c>
      <c r="C59" s="2" t="s">
        <v>1081</v>
      </c>
      <c r="D59" s="27" t="s">
        <v>1276</v>
      </c>
    </row>
    <row r="60" spans="2:4" ht="14.25" customHeight="1">
      <c r="B60" s="2" t="s">
        <v>1114</v>
      </c>
      <c r="C60" s="2" t="s">
        <v>1115</v>
      </c>
      <c r="D60" s="27" t="s">
        <v>1276</v>
      </c>
    </row>
    <row r="61" spans="2:4" ht="14.25" customHeight="1">
      <c r="B61" s="2" t="s">
        <v>1143</v>
      </c>
      <c r="C61" s="2" t="s">
        <v>1144</v>
      </c>
      <c r="D61" s="27" t="s">
        <v>1277</v>
      </c>
    </row>
    <row r="62" spans="2:4" ht="14.25" customHeight="1">
      <c r="B62" s="2" t="s">
        <v>1151</v>
      </c>
      <c r="C62" s="2" t="s">
        <v>1152</v>
      </c>
      <c r="D62" s="27" t="s">
        <v>1277</v>
      </c>
    </row>
    <row r="63" spans="2:4" ht="14.25" customHeight="1">
      <c r="B63" s="2" t="s">
        <v>1286</v>
      </c>
      <c r="C63" s="2" t="s">
        <v>1287</v>
      </c>
      <c r="D63" s="27" t="s">
        <v>1276</v>
      </c>
    </row>
    <row r="64" spans="2:4" ht="14.25" customHeight="1">
      <c r="B64" s="2" t="s">
        <v>1288</v>
      </c>
      <c r="C64" s="2" t="s">
        <v>1289</v>
      </c>
      <c r="D64" s="27" t="s">
        <v>1277</v>
      </c>
    </row>
    <row r="65" spans="2:4" ht="14.25" customHeight="1">
      <c r="B65" s="2" t="s">
        <v>1204</v>
      </c>
      <c r="C65" s="2" t="s">
        <v>1205</v>
      </c>
      <c r="D65" s="27" t="s">
        <v>1276</v>
      </c>
    </row>
    <row r="66" spans="2:4" ht="14.25" customHeight="1">
      <c r="B66" s="2" t="s">
        <v>1242</v>
      </c>
      <c r="C66" s="2" t="s">
        <v>1243</v>
      </c>
      <c r="D66" s="27" t="s">
        <v>1277</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7"/>
  <sheetViews>
    <sheetView zoomScaleNormal="100" workbookViewId="0">
      <selection activeCell="B10" sqref="B10"/>
    </sheetView>
  </sheetViews>
  <sheetFormatPr defaultColWidth="9.140625" defaultRowHeight="14.45"/>
  <cols>
    <col min="1" max="1" width="9.140625" style="31"/>
    <col min="2" max="2" width="74.7109375" style="31" customWidth="1"/>
  </cols>
  <sheetData>
    <row r="1" spans="1:4" ht="42.75" customHeight="1">
      <c r="A1" s="32" t="s">
        <v>1290</v>
      </c>
      <c r="B1" s="33" t="s">
        <v>1291</v>
      </c>
    </row>
    <row r="2" spans="1:4" ht="14.25" customHeight="1">
      <c r="A2" s="34" t="s">
        <v>20</v>
      </c>
      <c r="B2" s="34" t="s">
        <v>1292</v>
      </c>
      <c r="D2" t="s">
        <v>1293</v>
      </c>
    </row>
    <row r="3" spans="1:4" ht="14.25" customHeight="1">
      <c r="A3" s="34" t="s">
        <v>141</v>
      </c>
      <c r="B3" s="34" t="s">
        <v>1294</v>
      </c>
    </row>
    <row r="4" spans="1:4" ht="14.25" customHeight="1">
      <c r="A4" s="34" t="s">
        <v>236</v>
      </c>
      <c r="B4" s="34" t="s">
        <v>1295</v>
      </c>
    </row>
    <row r="5" spans="1:4" ht="28.5" customHeight="1">
      <c r="A5" s="34" t="s">
        <v>447</v>
      </c>
      <c r="B5" s="34" t="s">
        <v>1296</v>
      </c>
    </row>
    <row r="6" spans="1:4" ht="14.25" customHeight="1">
      <c r="A6" s="34" t="s">
        <v>1297</v>
      </c>
      <c r="B6" s="34" t="s">
        <v>1298</v>
      </c>
    </row>
    <row r="7" spans="1:4" ht="14.25" customHeight="1">
      <c r="A7" s="34" t="s">
        <v>1299</v>
      </c>
      <c r="B7" s="34" t="s">
        <v>1300</v>
      </c>
    </row>
    <row r="8" spans="1:4" ht="14.25" customHeight="1">
      <c r="A8" s="34" t="s">
        <v>1301</v>
      </c>
      <c r="B8" s="34" t="s">
        <v>1302</v>
      </c>
    </row>
    <row r="9" spans="1:4" ht="14.25" customHeight="1">
      <c r="A9" s="34" t="s">
        <v>1303</v>
      </c>
      <c r="B9" s="34" t="s">
        <v>1304</v>
      </c>
    </row>
    <row r="10" spans="1:4" ht="28.5" customHeight="1">
      <c r="A10" s="34" t="s">
        <v>1305</v>
      </c>
      <c r="B10" s="34" t="s">
        <v>1306</v>
      </c>
    </row>
    <row r="11" spans="1:4" ht="14.25" customHeight="1">
      <c r="A11" s="34" t="s">
        <v>637</v>
      </c>
      <c r="B11" s="34" t="s">
        <v>1307</v>
      </c>
    </row>
    <row r="12" spans="1:4" ht="14.25" customHeight="1">
      <c r="A12" s="34" t="s">
        <v>691</v>
      </c>
      <c r="B12" s="34" t="s">
        <v>1308</v>
      </c>
    </row>
    <row r="13" spans="1:4" ht="14.25" customHeight="1">
      <c r="A13" s="34" t="s">
        <v>998</v>
      </c>
      <c r="B13" s="34" t="s">
        <v>1309</v>
      </c>
    </row>
    <row r="14" spans="1:4" ht="14.25" customHeight="1">
      <c r="A14" s="34" t="s">
        <v>1021</v>
      </c>
      <c r="B14" s="34" t="s">
        <v>1310</v>
      </c>
    </row>
    <row r="15" spans="1:4" ht="28.5" customHeight="1">
      <c r="A15" s="34" t="s">
        <v>1079</v>
      </c>
      <c r="B15" s="34" t="s">
        <v>1311</v>
      </c>
    </row>
    <row r="16" spans="1:4" ht="23.25" customHeight="1">
      <c r="A16" s="34" t="s">
        <v>1171</v>
      </c>
      <c r="B16" s="34" t="s">
        <v>1312</v>
      </c>
    </row>
    <row r="17" spans="1:2" ht="28.5" customHeight="1">
      <c r="A17" s="34" t="s">
        <v>1313</v>
      </c>
      <c r="B17" s="34" t="s">
        <v>1314</v>
      </c>
    </row>
    <row r="18" spans="1:2" ht="14.25" customHeight="1">
      <c r="A18" s="34" t="s">
        <v>1315</v>
      </c>
      <c r="B18" s="34" t="s">
        <v>1316</v>
      </c>
    </row>
    <row r="19" spans="1:2" ht="28.5" customHeight="1">
      <c r="A19" s="34" t="s">
        <v>1317</v>
      </c>
      <c r="B19" s="34" t="s">
        <v>1318</v>
      </c>
    </row>
    <row r="20" spans="1:2" ht="14.25" customHeight="1">
      <c r="A20" s="34" t="s">
        <v>1319</v>
      </c>
      <c r="B20" s="34" t="s">
        <v>1320</v>
      </c>
    </row>
    <row r="21" spans="1:2" ht="14.25" customHeight="1">
      <c r="A21" s="34" t="s">
        <v>1321</v>
      </c>
      <c r="B21" s="34" t="s">
        <v>1322</v>
      </c>
    </row>
    <row r="22" spans="1:2" ht="28.5" customHeight="1">
      <c r="A22" s="34" t="s">
        <v>1323</v>
      </c>
      <c r="B22" s="34" t="s">
        <v>1324</v>
      </c>
    </row>
    <row r="23" spans="1:2" ht="14.25" customHeight="1">
      <c r="A23" s="34" t="s">
        <v>1325</v>
      </c>
      <c r="B23" s="34" t="s">
        <v>1326</v>
      </c>
    </row>
    <row r="24" spans="1:2" ht="14.25" customHeight="1">
      <c r="A24" s="34" t="s">
        <v>1327</v>
      </c>
      <c r="B24" s="34" t="s">
        <v>1328</v>
      </c>
    </row>
    <row r="25" spans="1:2" ht="14.25" customHeight="1">
      <c r="A25" s="34" t="s">
        <v>1329</v>
      </c>
      <c r="B25" s="34" t="s">
        <v>1330</v>
      </c>
    </row>
    <row r="26" spans="1:2" ht="14.25" customHeight="1">
      <c r="A26" s="34" t="s">
        <v>1331</v>
      </c>
      <c r="B26" s="34" t="s">
        <v>1332</v>
      </c>
    </row>
    <row r="27" spans="1:2" ht="14.25" customHeight="1">
      <c r="A27" s="34" t="s">
        <v>1333</v>
      </c>
      <c r="B27" s="34" t="s">
        <v>1334</v>
      </c>
    </row>
    <row r="28" spans="1:2" ht="28.5" customHeight="1">
      <c r="A28" s="34" t="s">
        <v>1335</v>
      </c>
      <c r="B28" s="34" t="s">
        <v>1336</v>
      </c>
    </row>
    <row r="29" spans="1:2" ht="14.25" customHeight="1">
      <c r="A29" s="34" t="s">
        <v>1337</v>
      </c>
      <c r="B29" s="34" t="s">
        <v>1338</v>
      </c>
    </row>
    <row r="30" spans="1:2" ht="14.25" customHeight="1">
      <c r="A30" s="34" t="s">
        <v>1339</v>
      </c>
      <c r="B30" s="34" t="s">
        <v>1340</v>
      </c>
    </row>
    <row r="31" spans="1:2" ht="14.25" customHeight="1">
      <c r="A31" s="34" t="s">
        <v>1341</v>
      </c>
      <c r="B31" s="34" t="s">
        <v>1342</v>
      </c>
    </row>
    <row r="32" spans="1:2" ht="14.25" customHeight="1">
      <c r="A32" s="34" t="s">
        <v>1343</v>
      </c>
      <c r="B32" s="34" t="s">
        <v>1344</v>
      </c>
    </row>
    <row r="33" spans="1:2" ht="14.25" customHeight="1">
      <c r="A33" s="34" t="s">
        <v>1345</v>
      </c>
      <c r="B33" s="34" t="s">
        <v>1346</v>
      </c>
    </row>
    <row r="34" spans="1:2" ht="14.25" customHeight="1">
      <c r="A34" s="34" t="s">
        <v>1347</v>
      </c>
      <c r="B34" s="34" t="s">
        <v>1348</v>
      </c>
    </row>
    <row r="35" spans="1:2" ht="28.5" customHeight="1">
      <c r="A35" s="34" t="s">
        <v>1349</v>
      </c>
      <c r="B35" s="34" t="s">
        <v>1350</v>
      </c>
    </row>
    <row r="36" spans="1:2" ht="28.5" customHeight="1">
      <c r="A36" s="34" t="s">
        <v>1351</v>
      </c>
      <c r="B36" s="34" t="s">
        <v>1352</v>
      </c>
    </row>
    <row r="37" spans="1:2" ht="28.5" customHeight="1">
      <c r="A37" s="34" t="s">
        <v>1353</v>
      </c>
      <c r="B37" s="34" t="s">
        <v>1354</v>
      </c>
    </row>
    <row r="38" spans="1:2" ht="14.25" customHeight="1">
      <c r="A38" s="34" t="s">
        <v>1355</v>
      </c>
      <c r="B38" s="34" t="s">
        <v>1356</v>
      </c>
    </row>
    <row r="39" spans="1:2" ht="14.25" customHeight="1">
      <c r="A39" s="34" t="s">
        <v>1357</v>
      </c>
      <c r="B39" s="34" t="s">
        <v>1358</v>
      </c>
    </row>
    <row r="40" spans="1:2" ht="14.25" customHeight="1">
      <c r="A40" s="34" t="s">
        <v>1359</v>
      </c>
      <c r="B40" s="34" t="s">
        <v>1360</v>
      </c>
    </row>
    <row r="41" spans="1:2" ht="14.25" customHeight="1">
      <c r="A41" s="34" t="s">
        <v>1361</v>
      </c>
      <c r="B41" s="34" t="s">
        <v>1362</v>
      </c>
    </row>
    <row r="42" spans="1:2" ht="28.5" customHeight="1">
      <c r="A42" s="34" t="s">
        <v>1363</v>
      </c>
      <c r="B42" s="34" t="s">
        <v>1364</v>
      </c>
    </row>
    <row r="43" spans="1:2" ht="14.25" customHeight="1">
      <c r="A43" s="34" t="s">
        <v>1365</v>
      </c>
      <c r="B43" s="34" t="s">
        <v>1366</v>
      </c>
    </row>
    <row r="44" spans="1:2" ht="28.5" customHeight="1">
      <c r="A44" s="34" t="s">
        <v>1367</v>
      </c>
      <c r="B44" s="34" t="s">
        <v>1368</v>
      </c>
    </row>
    <row r="45" spans="1:2" ht="28.5" customHeight="1">
      <c r="A45" s="34" t="s">
        <v>1369</v>
      </c>
      <c r="B45" s="34" t="s">
        <v>1370</v>
      </c>
    </row>
    <row r="46" spans="1:2" ht="14.25" customHeight="1">
      <c r="A46" s="34" t="s">
        <v>1371</v>
      </c>
      <c r="B46" s="34" t="s">
        <v>1372</v>
      </c>
    </row>
    <row r="47" spans="1:2" ht="14.25" customHeight="1">
      <c r="A47" s="34" t="s">
        <v>1373</v>
      </c>
      <c r="B47" s="34" t="s">
        <v>1374</v>
      </c>
    </row>
    <row r="48" spans="1:2" ht="14.25" customHeight="1">
      <c r="A48" s="34" t="s">
        <v>1375</v>
      </c>
      <c r="B48" s="34" t="s">
        <v>1376</v>
      </c>
    </row>
    <row r="49" spans="1:2" ht="14.25" customHeight="1">
      <c r="A49" s="34" t="s">
        <v>1377</v>
      </c>
      <c r="B49" s="34" t="s">
        <v>1378</v>
      </c>
    </row>
    <row r="50" spans="1:2" ht="28.5" customHeight="1">
      <c r="A50" s="34" t="s">
        <v>1379</v>
      </c>
      <c r="B50" s="34" t="s">
        <v>1380</v>
      </c>
    </row>
    <row r="51" spans="1:2" ht="14.25" customHeight="1">
      <c r="A51" s="34" t="s">
        <v>1381</v>
      </c>
      <c r="B51" s="34" t="s">
        <v>1382</v>
      </c>
    </row>
    <row r="52" spans="1:2" ht="14.25" customHeight="1">
      <c r="A52" s="34" t="s">
        <v>1383</v>
      </c>
      <c r="B52" s="34" t="s">
        <v>1384</v>
      </c>
    </row>
    <row r="53" spans="1:2" ht="28.5" customHeight="1">
      <c r="A53" s="34" t="s">
        <v>1385</v>
      </c>
      <c r="B53" s="34" t="s">
        <v>1386</v>
      </c>
    </row>
    <row r="54" spans="1:2" ht="28.5" customHeight="1">
      <c r="A54" s="34" t="s">
        <v>1387</v>
      </c>
      <c r="B54" s="34" t="s">
        <v>1388</v>
      </c>
    </row>
    <row r="55" spans="1:2" ht="28.5" customHeight="1">
      <c r="A55" s="34" t="s">
        <v>1389</v>
      </c>
      <c r="B55" s="34" t="s">
        <v>1390</v>
      </c>
    </row>
    <row r="56" spans="1:2" ht="14.25" customHeight="1">
      <c r="A56" s="34" t="s">
        <v>1391</v>
      </c>
      <c r="B56" s="34" t="s">
        <v>1392</v>
      </c>
    </row>
    <row r="57" spans="1:2" ht="14.25" customHeight="1">
      <c r="A57" s="34" t="s">
        <v>1393</v>
      </c>
      <c r="B57" s="34" t="s">
        <v>1394</v>
      </c>
    </row>
    <row r="58" spans="1:2" ht="28.5" customHeight="1">
      <c r="A58" s="34" t="s">
        <v>1395</v>
      </c>
      <c r="B58" s="34" t="s">
        <v>1396</v>
      </c>
    </row>
    <row r="59" spans="1:2" ht="14.25" customHeight="1">
      <c r="A59" s="34" t="s">
        <v>1397</v>
      </c>
      <c r="B59" s="34" t="s">
        <v>1398</v>
      </c>
    </row>
    <row r="60" spans="1:2" ht="14.25" customHeight="1">
      <c r="A60" s="34" t="s">
        <v>1399</v>
      </c>
      <c r="B60" s="34" t="s">
        <v>1400</v>
      </c>
    </row>
    <row r="61" spans="1:2" ht="28.5" customHeight="1">
      <c r="A61" s="34" t="s">
        <v>1401</v>
      </c>
      <c r="B61" s="34" t="s">
        <v>1402</v>
      </c>
    </row>
    <row r="62" spans="1:2" ht="14.25" customHeight="1">
      <c r="A62" s="34" t="s">
        <v>1403</v>
      </c>
      <c r="B62" s="34" t="s">
        <v>1404</v>
      </c>
    </row>
    <row r="63" spans="1:2" ht="28.5" customHeight="1">
      <c r="A63" s="34" t="s">
        <v>1405</v>
      </c>
      <c r="B63" s="34" t="s">
        <v>1406</v>
      </c>
    </row>
    <row r="64" spans="1:2" ht="14.25" customHeight="1">
      <c r="A64" s="34" t="s">
        <v>1407</v>
      </c>
      <c r="B64" s="34" t="s">
        <v>1408</v>
      </c>
    </row>
    <row r="65" spans="1:2" ht="14.25" customHeight="1">
      <c r="A65" s="34" t="s">
        <v>1409</v>
      </c>
      <c r="B65" s="34" t="s">
        <v>1410</v>
      </c>
    </row>
    <row r="66" spans="1:2" ht="14.25" customHeight="1">
      <c r="A66" s="34" t="s">
        <v>1411</v>
      </c>
      <c r="B66" s="34" t="s">
        <v>1412</v>
      </c>
    </row>
    <row r="67" spans="1:2" ht="28.5" customHeight="1">
      <c r="A67" s="34" t="s">
        <v>1413</v>
      </c>
      <c r="B67" s="34" t="s">
        <v>1414</v>
      </c>
    </row>
    <row r="68" spans="1:2" ht="14.25" customHeight="1">
      <c r="A68" s="34" t="s">
        <v>1415</v>
      </c>
      <c r="B68" s="34" t="s">
        <v>1416</v>
      </c>
    </row>
    <row r="69" spans="1:2" ht="28.5" customHeight="1">
      <c r="A69" s="34" t="s">
        <v>1417</v>
      </c>
      <c r="B69" s="34" t="s">
        <v>1418</v>
      </c>
    </row>
    <row r="70" spans="1:2" ht="28.5" customHeight="1">
      <c r="A70" s="34" t="s">
        <v>1419</v>
      </c>
      <c r="B70" s="34" t="s">
        <v>1420</v>
      </c>
    </row>
    <row r="71" spans="1:2" ht="28.5" customHeight="1">
      <c r="A71" s="34" t="s">
        <v>1421</v>
      </c>
      <c r="B71" s="34" t="s">
        <v>1422</v>
      </c>
    </row>
    <row r="72" spans="1:2" ht="14.25" customHeight="1">
      <c r="A72" s="34" t="s">
        <v>1423</v>
      </c>
      <c r="B72" s="34" t="s">
        <v>1424</v>
      </c>
    </row>
    <row r="73" spans="1:2" ht="14.25" customHeight="1">
      <c r="A73" s="34" t="s">
        <v>1425</v>
      </c>
      <c r="B73" s="34" t="s">
        <v>1426</v>
      </c>
    </row>
    <row r="74" spans="1:2" ht="28.5" customHeight="1">
      <c r="A74" s="34" t="s">
        <v>1427</v>
      </c>
      <c r="B74" s="34" t="s">
        <v>1428</v>
      </c>
    </row>
    <row r="75" spans="1:2" ht="14.25" customHeight="1">
      <c r="A75" s="34" t="s">
        <v>1429</v>
      </c>
      <c r="B75" s="34" t="s">
        <v>1430</v>
      </c>
    </row>
    <row r="76" spans="1:2" ht="14.25" customHeight="1">
      <c r="A76" s="34" t="s">
        <v>1431</v>
      </c>
      <c r="B76" s="34" t="s">
        <v>1432</v>
      </c>
    </row>
    <row r="77" spans="1:2" ht="14.25" customHeight="1">
      <c r="A77" s="34" t="s">
        <v>1433</v>
      </c>
      <c r="B77" s="34" t="s">
        <v>1434</v>
      </c>
    </row>
    <row r="78" spans="1:2" ht="14.25" customHeight="1">
      <c r="A78" s="34" t="s">
        <v>1435</v>
      </c>
      <c r="B78" s="34" t="s">
        <v>1436</v>
      </c>
    </row>
    <row r="79" spans="1:2" ht="14.25" customHeight="1">
      <c r="A79" s="34" t="s">
        <v>1437</v>
      </c>
      <c r="B79" s="34" t="s">
        <v>1438</v>
      </c>
    </row>
    <row r="80" spans="1:2" ht="14.25" customHeight="1">
      <c r="A80" s="34" t="s">
        <v>1439</v>
      </c>
      <c r="B80" s="34" t="s">
        <v>1440</v>
      </c>
    </row>
    <row r="81" spans="1:2" ht="14.25" customHeight="1">
      <c r="A81" s="35" t="s">
        <v>1441</v>
      </c>
      <c r="B81" s="34" t="s">
        <v>1442</v>
      </c>
    </row>
    <row r="82" spans="1:2" ht="28.5" customHeight="1">
      <c r="A82" s="34" t="s">
        <v>1443</v>
      </c>
      <c r="B82" s="34" t="s">
        <v>1444</v>
      </c>
    </row>
    <row r="83" spans="1:2" ht="42.75" customHeight="1">
      <c r="A83" s="34" t="s">
        <v>1445</v>
      </c>
      <c r="B83" s="34" t="s">
        <v>1446</v>
      </c>
    </row>
    <row r="84" spans="1:2" ht="14.25" customHeight="1">
      <c r="A84" s="34" t="s">
        <v>1447</v>
      </c>
      <c r="B84" s="34" t="s">
        <v>1448</v>
      </c>
    </row>
    <row r="85" spans="1:2" ht="28.5" customHeight="1">
      <c r="A85" s="34" t="s">
        <v>1449</v>
      </c>
      <c r="B85" s="34" t="s">
        <v>1450</v>
      </c>
    </row>
    <row r="86" spans="1:2" ht="28.5" customHeight="1">
      <c r="A86" s="34" t="s">
        <v>1451</v>
      </c>
      <c r="B86" s="34" t="s">
        <v>1452</v>
      </c>
    </row>
    <row r="87" spans="1:2" ht="14.25" customHeight="1">
      <c r="A87" s="34" t="s">
        <v>1453</v>
      </c>
      <c r="B87" s="34" t="s">
        <v>1454</v>
      </c>
    </row>
    <row r="88" spans="1:2" ht="14.25" customHeight="1">
      <c r="A88" s="34" t="s">
        <v>1455</v>
      </c>
      <c r="B88" s="34" t="s">
        <v>1456</v>
      </c>
    </row>
    <row r="89" spans="1:2" ht="28.5" customHeight="1">
      <c r="A89" s="34" t="s">
        <v>1457</v>
      </c>
      <c r="B89" s="34" t="s">
        <v>1458</v>
      </c>
    </row>
    <row r="90" spans="1:2" ht="14.25" customHeight="1">
      <c r="A90" s="34" t="s">
        <v>1459</v>
      </c>
      <c r="B90" s="34" t="s">
        <v>1460</v>
      </c>
    </row>
    <row r="91" spans="1:2" ht="14.25" customHeight="1">
      <c r="A91" s="34" t="s">
        <v>1461</v>
      </c>
      <c r="B91" s="34" t="s">
        <v>1462</v>
      </c>
    </row>
    <row r="92" spans="1:2" ht="14.25" customHeight="1">
      <c r="A92" s="34" t="s">
        <v>1463</v>
      </c>
      <c r="B92" s="34" t="s">
        <v>1464</v>
      </c>
    </row>
    <row r="93" spans="1:2" ht="14.25" customHeight="1">
      <c r="A93" s="34" t="s">
        <v>1465</v>
      </c>
      <c r="B93" s="34" t="s">
        <v>1466</v>
      </c>
    </row>
    <row r="94" spans="1:2" ht="14.25" customHeight="1">
      <c r="A94" s="34" t="s">
        <v>1467</v>
      </c>
      <c r="B94" s="34" t="s">
        <v>1468</v>
      </c>
    </row>
    <row r="95" spans="1:2" ht="28.5" customHeight="1">
      <c r="A95" s="34" t="s">
        <v>1469</v>
      </c>
      <c r="B95" s="34" t="s">
        <v>1470</v>
      </c>
    </row>
    <row r="96" spans="1:2" ht="28.5" customHeight="1">
      <c r="A96" s="34" t="s">
        <v>1471</v>
      </c>
      <c r="B96" s="34" t="s">
        <v>1472</v>
      </c>
    </row>
    <row r="97" spans="1:2" ht="14.25" customHeight="1">
      <c r="A97" s="34" t="s">
        <v>1473</v>
      </c>
      <c r="B97" s="34" t="s">
        <v>1474</v>
      </c>
    </row>
    <row r="98" spans="1:2" ht="14.25" customHeight="1">
      <c r="A98" s="34" t="s">
        <v>1475</v>
      </c>
      <c r="B98" s="34" t="s">
        <v>1476</v>
      </c>
    </row>
    <row r="99" spans="1:2" ht="28.5" customHeight="1">
      <c r="A99" s="34" t="s">
        <v>1477</v>
      </c>
      <c r="B99" s="34" t="s">
        <v>1478</v>
      </c>
    </row>
    <row r="100" spans="1:2" ht="28.5" customHeight="1">
      <c r="A100" s="34" t="s">
        <v>1479</v>
      </c>
      <c r="B100" s="34" t="s">
        <v>1480</v>
      </c>
    </row>
    <row r="101" spans="1:2" ht="28.5" customHeight="1">
      <c r="A101" s="34" t="s">
        <v>1481</v>
      </c>
      <c r="B101" s="34" t="s">
        <v>1482</v>
      </c>
    </row>
    <row r="102" spans="1:2" ht="14.25" customHeight="1">
      <c r="A102" s="34" t="s">
        <v>1483</v>
      </c>
      <c r="B102" s="34" t="s">
        <v>1484</v>
      </c>
    </row>
    <row r="103" spans="1:2" ht="14.25" customHeight="1">
      <c r="A103" s="34" t="s">
        <v>1485</v>
      </c>
      <c r="B103" s="34" t="s">
        <v>1486</v>
      </c>
    </row>
    <row r="104" spans="1:2" ht="14.25" customHeight="1">
      <c r="A104" s="34" t="s">
        <v>1487</v>
      </c>
      <c r="B104" s="34" t="s">
        <v>1488</v>
      </c>
    </row>
    <row r="105" spans="1:2" ht="28.5" customHeight="1">
      <c r="A105" s="34" t="s">
        <v>1489</v>
      </c>
      <c r="B105" s="34" t="s">
        <v>1490</v>
      </c>
    </row>
    <row r="106" spans="1:2" ht="28.5" customHeight="1">
      <c r="A106" s="34" t="s">
        <v>1491</v>
      </c>
      <c r="B106" s="34" t="s">
        <v>1492</v>
      </c>
    </row>
    <row r="107" spans="1:2" ht="14.25" customHeight="1">
      <c r="A107" s="34" t="s">
        <v>1493</v>
      </c>
      <c r="B107" s="34" t="s">
        <v>1494</v>
      </c>
    </row>
  </sheetData>
  <conditionalFormatting sqref="A1:B107">
    <cfRule type="expression" dxfId="0" priority="2">
      <formula>LEN(TRIM(A1))=0</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 &amp;Kffffff&amp;A</oddHeader>
    <oddFooter>&amp;C&amp;"Times New Roman,Regular"&amp;12 &amp;KffffffPage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Ipedis</dc:creator>
  <cp:keywords/>
  <dc:description/>
  <cp:lastModifiedBy/>
  <cp:revision>3</cp:revision>
  <dcterms:created xsi:type="dcterms:W3CDTF">2015-06-05T18:19:34Z</dcterms:created>
  <dcterms:modified xsi:type="dcterms:W3CDTF">2026-05-11T10:25:11Z</dcterms:modified>
  <cp:category/>
  <cp:contentStatus/>
</cp:coreProperties>
</file>